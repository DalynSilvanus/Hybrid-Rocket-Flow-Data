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/>
  <xr:revisionPtr revIDLastSave="0" documentId="8_{B93B3976-CF1D-46E5-833E-FBF5B736C3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3" l="1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3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2" i="3"/>
  <c r="B27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2" i="3"/>
  <c r="B24" i="3"/>
  <c r="B25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2" i="3"/>
  <c r="V3" i="3"/>
  <c r="V2" i="3"/>
  <c r="U2" i="3"/>
  <c r="W2" i="3" s="1"/>
  <c r="Q2" i="3"/>
  <c r="R2" i="3" s="1"/>
  <c r="M2" i="3"/>
  <c r="L2" i="3"/>
  <c r="J2" i="3"/>
  <c r="H3" i="3"/>
  <c r="N3" i="3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S2" i="3" l="1"/>
  <c r="P3" i="3"/>
  <c r="Q3" i="3" s="1"/>
  <c r="M3" i="3"/>
  <c r="J3" i="3"/>
  <c r="I3" i="3" s="1"/>
  <c r="L3" i="3" s="1"/>
  <c r="K3" i="3"/>
  <c r="M4" i="3"/>
  <c r="J4" i="3" s="1"/>
  <c r="I4" i="3" s="1"/>
  <c r="L4" i="3" s="1"/>
  <c r="N4" i="3"/>
  <c r="R3" i="3" l="1"/>
  <c r="P4" i="3" s="1"/>
  <c r="V4" i="3" s="1"/>
  <c r="S3" i="3"/>
  <c r="T3" i="3" s="1"/>
  <c r="Q4" i="3"/>
  <c r="R4" i="3" s="1"/>
  <c r="K4" i="3"/>
  <c r="P5" i="3" l="1"/>
  <c r="V5" i="3" s="1"/>
  <c r="S4" i="3"/>
  <c r="U3" i="3"/>
  <c r="W3" i="3" s="1"/>
  <c r="T4" i="3"/>
  <c r="Q5" i="3"/>
  <c r="M5" i="3"/>
  <c r="N5" i="3"/>
  <c r="U4" i="3" l="1"/>
  <c r="W4" i="3" s="1"/>
  <c r="J5" i="3"/>
  <c r="I5" i="3" s="1"/>
  <c r="R5" i="3" s="1"/>
  <c r="P6" i="3" l="1"/>
  <c r="S5" i="3"/>
  <c r="T5" i="3" s="1"/>
  <c r="U5" i="3"/>
  <c r="W5" i="3" s="1"/>
  <c r="L5" i="3"/>
  <c r="K5" i="3"/>
  <c r="V6" i="3" l="1"/>
  <c r="Q6" i="3"/>
  <c r="N6" i="3"/>
  <c r="M6" i="3"/>
  <c r="J6" i="3" l="1"/>
  <c r="I6" i="3" s="1"/>
  <c r="R6" i="3" s="1"/>
  <c r="S6" i="3" l="1"/>
  <c r="T6" i="3" s="1"/>
  <c r="P7" i="3"/>
  <c r="L6" i="3"/>
  <c r="K6" i="3"/>
  <c r="V7" i="3" l="1"/>
  <c r="Q7" i="3"/>
  <c r="U6" i="3"/>
  <c r="W6" i="3" s="1"/>
  <c r="M7" i="3"/>
  <c r="N7" i="3"/>
  <c r="J7" i="3" l="1"/>
  <c r="I7" i="3" s="1"/>
  <c r="R7" i="3" s="1"/>
  <c r="S7" i="3" l="1"/>
  <c r="T7" i="3" s="1"/>
  <c r="P8" i="3"/>
  <c r="L7" i="3"/>
  <c r="K7" i="3"/>
  <c r="V8" i="3" l="1"/>
  <c r="Q8" i="3"/>
  <c r="U7" i="3"/>
  <c r="W7" i="3" s="1"/>
  <c r="N8" i="3"/>
  <c r="M8" i="3"/>
  <c r="J8" i="3" s="1"/>
  <c r="I8" i="3" s="1"/>
  <c r="R8" i="3" l="1"/>
  <c r="L8" i="3"/>
  <c r="M9" i="3" s="1"/>
  <c r="J9" i="3" s="1"/>
  <c r="I9" i="3" s="1"/>
  <c r="K8" i="3"/>
  <c r="N9" i="3"/>
  <c r="S8" i="3" l="1"/>
  <c r="T8" i="3" s="1"/>
  <c r="P9" i="3"/>
  <c r="L9" i="3"/>
  <c r="K9" i="3"/>
  <c r="V9" i="3" l="1"/>
  <c r="Q9" i="3"/>
  <c r="R9" i="3" s="1"/>
  <c r="S9" i="3" s="1"/>
  <c r="P10" i="3"/>
  <c r="U8" i="3"/>
  <c r="W8" i="3" s="1"/>
  <c r="T9" i="3"/>
  <c r="M10" i="3"/>
  <c r="J10" i="3" s="1"/>
  <c r="I10" i="3" s="1"/>
  <c r="N10" i="3"/>
  <c r="U9" i="3" l="1"/>
  <c r="W9" i="3" s="1"/>
  <c r="V10" i="3"/>
  <c r="Q10" i="3"/>
  <c r="R10" i="3" s="1"/>
  <c r="S10" i="3" s="1"/>
  <c r="T10" i="3" s="1"/>
  <c r="P11" i="3"/>
  <c r="L10" i="3"/>
  <c r="K10" i="3"/>
  <c r="V11" i="3" l="1"/>
  <c r="Q11" i="3"/>
  <c r="U10" i="3"/>
  <c r="W10" i="3" s="1"/>
  <c r="M11" i="3"/>
  <c r="J11" i="3" s="1"/>
  <c r="I11" i="3" s="1"/>
  <c r="N11" i="3"/>
  <c r="R11" i="3" l="1"/>
  <c r="L11" i="3"/>
  <c r="K11" i="3"/>
  <c r="S11" i="3" l="1"/>
  <c r="T11" i="3" s="1"/>
  <c r="P12" i="3"/>
  <c r="M12" i="3"/>
  <c r="N12" i="3"/>
  <c r="V12" i="3" l="1"/>
  <c r="Q12" i="3"/>
  <c r="U11" i="3"/>
  <c r="W11" i="3" s="1"/>
  <c r="J12" i="3"/>
  <c r="I12" i="3" s="1"/>
  <c r="R12" i="3" l="1"/>
  <c r="L12" i="3"/>
  <c r="K12" i="3"/>
  <c r="S12" i="3" l="1"/>
  <c r="T12" i="3" s="1"/>
  <c r="P13" i="3"/>
  <c r="N13" i="3"/>
  <c r="M13" i="3"/>
  <c r="J13" i="3" s="1"/>
  <c r="I13" i="3" s="1"/>
  <c r="V13" i="3" l="1"/>
  <c r="Q13" i="3"/>
  <c r="R13" i="3" s="1"/>
  <c r="S13" i="3" s="1"/>
  <c r="P14" i="3"/>
  <c r="U12" i="3"/>
  <c r="W12" i="3" s="1"/>
  <c r="T13" i="3"/>
  <c r="L13" i="3"/>
  <c r="M14" i="3" s="1"/>
  <c r="J14" i="3" s="1"/>
  <c r="I14" i="3" s="1"/>
  <c r="K13" i="3"/>
  <c r="N14" i="3"/>
  <c r="U13" i="3" l="1"/>
  <c r="W13" i="3" s="1"/>
  <c r="V14" i="3"/>
  <c r="Q14" i="3"/>
  <c r="R14" i="3" s="1"/>
  <c r="S14" i="3" s="1"/>
  <c r="T14" i="3" s="1"/>
  <c r="P15" i="3"/>
  <c r="L14" i="3"/>
  <c r="K14" i="3"/>
  <c r="V15" i="3" l="1"/>
  <c r="Q15" i="3"/>
  <c r="U14" i="3"/>
  <c r="W14" i="3" s="1"/>
  <c r="M15" i="3"/>
  <c r="J15" i="3" s="1"/>
  <c r="I15" i="3" s="1"/>
  <c r="N15" i="3"/>
  <c r="R15" i="3" l="1"/>
  <c r="L15" i="3"/>
  <c r="K15" i="3"/>
  <c r="S15" i="3" l="1"/>
  <c r="T15" i="3" s="1"/>
  <c r="P16" i="3"/>
  <c r="M16" i="3"/>
  <c r="J16" i="3" s="1"/>
  <c r="I16" i="3" s="1"/>
  <c r="N16" i="3"/>
  <c r="V16" i="3" l="1"/>
  <c r="Q16" i="3"/>
  <c r="R16" i="3" s="1"/>
  <c r="S16" i="3" s="1"/>
  <c r="P17" i="3"/>
  <c r="U15" i="3"/>
  <c r="W15" i="3" s="1"/>
  <c r="T16" i="3"/>
  <c r="L16" i="3"/>
  <c r="K16" i="3"/>
  <c r="U16" i="3" l="1"/>
  <c r="W16" i="3" s="1"/>
  <c r="V17" i="3"/>
  <c r="Q17" i="3"/>
  <c r="M17" i="3"/>
  <c r="J17" i="3" s="1"/>
  <c r="I17" i="3" s="1"/>
  <c r="N17" i="3"/>
  <c r="R17" i="3" l="1"/>
  <c r="L17" i="3"/>
  <c r="K17" i="3"/>
  <c r="S17" i="3" l="1"/>
  <c r="T17" i="3" s="1"/>
  <c r="P18" i="3"/>
  <c r="M18" i="3"/>
  <c r="J18" i="3" s="1"/>
  <c r="I18" i="3" s="1"/>
  <c r="N18" i="3"/>
  <c r="V18" i="3" l="1"/>
  <c r="Q18" i="3"/>
  <c r="R18" i="3" s="1"/>
  <c r="S18" i="3" s="1"/>
  <c r="P19" i="3"/>
  <c r="U17" i="3"/>
  <c r="W17" i="3" s="1"/>
  <c r="T18" i="3"/>
  <c r="L18" i="3"/>
  <c r="K18" i="3"/>
  <c r="U18" i="3" l="1"/>
  <c r="W18" i="3" s="1"/>
  <c r="V19" i="3"/>
  <c r="Q19" i="3"/>
  <c r="M19" i="3"/>
  <c r="J19" i="3" s="1"/>
  <c r="I19" i="3" s="1"/>
  <c r="N19" i="3"/>
  <c r="R19" i="3" l="1"/>
  <c r="L19" i="3"/>
  <c r="K19" i="3"/>
  <c r="S19" i="3" l="1"/>
  <c r="T19" i="3" s="1"/>
  <c r="P20" i="3"/>
  <c r="M20" i="3"/>
  <c r="J20" i="3" s="1"/>
  <c r="I20" i="3" s="1"/>
  <c r="N20" i="3"/>
  <c r="V20" i="3" l="1"/>
  <c r="Q20" i="3"/>
  <c r="R20" i="3" s="1"/>
  <c r="S20" i="3" s="1"/>
  <c r="P21" i="3"/>
  <c r="U19" i="3"/>
  <c r="W19" i="3" s="1"/>
  <c r="T20" i="3"/>
  <c r="L20" i="3"/>
  <c r="K20" i="3"/>
  <c r="U20" i="3" l="1"/>
  <c r="W20" i="3" s="1"/>
  <c r="V21" i="3"/>
  <c r="Q21" i="3"/>
  <c r="M21" i="3"/>
  <c r="J21" i="3" s="1"/>
  <c r="I21" i="3" s="1"/>
  <c r="N21" i="3"/>
  <c r="R21" i="3" l="1"/>
  <c r="L21" i="3"/>
  <c r="K21" i="3"/>
  <c r="S21" i="3" l="1"/>
  <c r="T21" i="3" s="1"/>
  <c r="P22" i="3"/>
  <c r="M22" i="3"/>
  <c r="J22" i="3" s="1"/>
  <c r="I22" i="3" s="1"/>
  <c r="N22" i="3"/>
  <c r="V22" i="3" l="1"/>
  <c r="Q22" i="3"/>
  <c r="R22" i="3" s="1"/>
  <c r="S22" i="3" s="1"/>
  <c r="P23" i="3"/>
  <c r="U21" i="3"/>
  <c r="W21" i="3" s="1"/>
  <c r="T22" i="3"/>
  <c r="L22" i="3"/>
  <c r="K22" i="3"/>
  <c r="U22" i="3" l="1"/>
  <c r="W22" i="3" s="1"/>
  <c r="V23" i="3"/>
  <c r="Q23" i="3"/>
  <c r="M23" i="3"/>
  <c r="J23" i="3" s="1"/>
  <c r="I23" i="3" s="1"/>
  <c r="N23" i="3"/>
  <c r="R23" i="3" l="1"/>
  <c r="L23" i="3"/>
  <c r="K23" i="3"/>
  <c r="S23" i="3" l="1"/>
  <c r="T23" i="3" s="1"/>
  <c r="P24" i="3"/>
  <c r="M24" i="3"/>
  <c r="N24" i="3"/>
  <c r="V24" i="3" l="1"/>
  <c r="Q24" i="3"/>
  <c r="U23" i="3"/>
  <c r="W23" i="3" s="1"/>
  <c r="J24" i="3"/>
  <c r="I24" i="3" s="1"/>
  <c r="R24" i="3" l="1"/>
  <c r="L24" i="3"/>
  <c r="K24" i="3"/>
  <c r="S24" i="3" l="1"/>
  <c r="T24" i="3" s="1"/>
  <c r="P25" i="3"/>
  <c r="N25" i="3"/>
  <c r="M25" i="3"/>
  <c r="J25" i="3" s="1"/>
  <c r="I25" i="3" s="1"/>
  <c r="V25" i="3" l="1"/>
  <c r="Q25" i="3"/>
  <c r="R25" i="3" s="1"/>
  <c r="S25" i="3" s="1"/>
  <c r="P26" i="3"/>
  <c r="U24" i="3"/>
  <c r="W24" i="3" s="1"/>
  <c r="T25" i="3"/>
  <c r="L25" i="3"/>
  <c r="M26" i="3" s="1"/>
  <c r="J26" i="3" s="1"/>
  <c r="I26" i="3" s="1"/>
  <c r="K25" i="3"/>
  <c r="N26" i="3"/>
  <c r="U25" i="3" l="1"/>
  <c r="W25" i="3" s="1"/>
  <c r="V26" i="3"/>
  <c r="Q26" i="3"/>
  <c r="R26" i="3" s="1"/>
  <c r="S26" i="3" s="1"/>
  <c r="T26" i="3" s="1"/>
  <c r="P27" i="3"/>
  <c r="L26" i="3"/>
  <c r="K26" i="3"/>
  <c r="V27" i="3" l="1"/>
  <c r="Q27" i="3"/>
  <c r="U26" i="3"/>
  <c r="W26" i="3" s="1"/>
  <c r="M27" i="3"/>
  <c r="J27" i="3" s="1"/>
  <c r="I27" i="3" s="1"/>
  <c r="N27" i="3"/>
  <c r="R27" i="3" l="1"/>
  <c r="L27" i="3"/>
  <c r="K27" i="3"/>
  <c r="S27" i="3" l="1"/>
  <c r="T27" i="3" s="1"/>
  <c r="P28" i="3"/>
  <c r="M28" i="3"/>
  <c r="J28" i="3" s="1"/>
  <c r="I28" i="3" s="1"/>
  <c r="N28" i="3"/>
  <c r="V28" i="3" l="1"/>
  <c r="Q28" i="3"/>
  <c r="R28" i="3" s="1"/>
  <c r="S28" i="3" s="1"/>
  <c r="P29" i="3"/>
  <c r="U27" i="3"/>
  <c r="W27" i="3" s="1"/>
  <c r="T28" i="3"/>
  <c r="L28" i="3"/>
  <c r="K28" i="3"/>
  <c r="U28" i="3" l="1"/>
  <c r="W28" i="3" s="1"/>
  <c r="V29" i="3"/>
  <c r="Q29" i="3"/>
  <c r="M29" i="3"/>
  <c r="J29" i="3" s="1"/>
  <c r="I29" i="3" s="1"/>
  <c r="N29" i="3"/>
  <c r="R29" i="3" l="1"/>
  <c r="L29" i="3"/>
  <c r="K29" i="3"/>
  <c r="S29" i="3" l="1"/>
  <c r="T29" i="3" s="1"/>
  <c r="P30" i="3"/>
  <c r="M30" i="3"/>
  <c r="J30" i="3" s="1"/>
  <c r="I30" i="3" s="1"/>
  <c r="N30" i="3"/>
  <c r="V30" i="3" l="1"/>
  <c r="Q30" i="3"/>
  <c r="R30" i="3" s="1"/>
  <c r="S30" i="3" s="1"/>
  <c r="P31" i="3"/>
  <c r="U29" i="3"/>
  <c r="W29" i="3" s="1"/>
  <c r="T30" i="3"/>
  <c r="L30" i="3"/>
  <c r="K30" i="3"/>
  <c r="U30" i="3" l="1"/>
  <c r="W30" i="3" s="1"/>
  <c r="V31" i="3"/>
  <c r="Q31" i="3"/>
  <c r="M31" i="3"/>
  <c r="J31" i="3" s="1"/>
  <c r="I31" i="3" s="1"/>
  <c r="N31" i="3"/>
  <c r="R31" i="3" l="1"/>
  <c r="L31" i="3"/>
  <c r="K31" i="3"/>
  <c r="S31" i="3" l="1"/>
  <c r="T31" i="3" s="1"/>
  <c r="P32" i="3"/>
  <c r="M32" i="3"/>
  <c r="J32" i="3" s="1"/>
  <c r="I32" i="3" s="1"/>
  <c r="N32" i="3"/>
  <c r="V32" i="3" l="1"/>
  <c r="Q32" i="3"/>
  <c r="R32" i="3" s="1"/>
  <c r="S32" i="3" s="1"/>
  <c r="P33" i="3"/>
  <c r="U31" i="3"/>
  <c r="W31" i="3" s="1"/>
  <c r="T32" i="3"/>
  <c r="L32" i="3"/>
  <c r="K32" i="3"/>
  <c r="U32" i="3" l="1"/>
  <c r="W32" i="3" s="1"/>
  <c r="V33" i="3"/>
  <c r="Q33" i="3"/>
  <c r="M33" i="3"/>
  <c r="J33" i="3" s="1"/>
  <c r="I33" i="3" s="1"/>
  <c r="N33" i="3"/>
  <c r="R33" i="3" l="1"/>
  <c r="L33" i="3"/>
  <c r="K33" i="3"/>
  <c r="S33" i="3" l="1"/>
  <c r="T33" i="3" s="1"/>
  <c r="P34" i="3"/>
  <c r="M34" i="3"/>
  <c r="J34" i="3" s="1"/>
  <c r="I34" i="3" s="1"/>
  <c r="N34" i="3"/>
  <c r="V34" i="3" l="1"/>
  <c r="Q34" i="3"/>
  <c r="R34" i="3" s="1"/>
  <c r="S34" i="3" s="1"/>
  <c r="P35" i="3"/>
  <c r="U33" i="3"/>
  <c r="W33" i="3" s="1"/>
  <c r="T34" i="3"/>
  <c r="L34" i="3"/>
  <c r="K34" i="3"/>
  <c r="U34" i="3" l="1"/>
  <c r="W34" i="3" s="1"/>
  <c r="V35" i="3"/>
  <c r="Q35" i="3"/>
  <c r="M35" i="3"/>
  <c r="N35" i="3"/>
  <c r="J35" i="3" l="1"/>
  <c r="I35" i="3" s="1"/>
  <c r="R35" i="3" s="1"/>
  <c r="S35" i="3" l="1"/>
  <c r="T35" i="3" s="1"/>
  <c r="P36" i="3"/>
  <c r="L35" i="3"/>
  <c r="K35" i="3"/>
  <c r="V36" i="3" l="1"/>
  <c r="Q36" i="3"/>
  <c r="U35" i="3"/>
  <c r="W35" i="3" s="1"/>
  <c r="N36" i="3"/>
  <c r="M36" i="3"/>
  <c r="J36" i="3" l="1"/>
  <c r="I36" i="3" s="1"/>
  <c r="R36" i="3" s="1"/>
  <c r="S36" i="3" l="1"/>
  <c r="T36" i="3" s="1"/>
  <c r="P37" i="3"/>
  <c r="L36" i="3"/>
  <c r="K36" i="3"/>
  <c r="V37" i="3" l="1"/>
  <c r="Q37" i="3"/>
  <c r="U36" i="3"/>
  <c r="W36" i="3" s="1"/>
  <c r="M37" i="3"/>
  <c r="N37" i="3"/>
  <c r="J37" i="3" l="1"/>
  <c r="I37" i="3" s="1"/>
  <c r="R37" i="3" s="1"/>
  <c r="S37" i="3" l="1"/>
  <c r="T37" i="3" s="1"/>
  <c r="P38" i="3"/>
  <c r="L37" i="3"/>
  <c r="K37" i="3"/>
  <c r="V38" i="3" l="1"/>
  <c r="Q38" i="3"/>
  <c r="U37" i="3"/>
  <c r="W37" i="3" s="1"/>
  <c r="N38" i="3"/>
  <c r="M38" i="3"/>
  <c r="J38" i="3" l="1"/>
  <c r="I38" i="3" s="1"/>
  <c r="R38" i="3" s="1"/>
  <c r="S38" i="3" l="1"/>
  <c r="T38" i="3" s="1"/>
  <c r="P39" i="3"/>
  <c r="L38" i="3"/>
  <c r="K38" i="3"/>
  <c r="V39" i="3" l="1"/>
  <c r="Q39" i="3"/>
  <c r="U38" i="3"/>
  <c r="W38" i="3" s="1"/>
  <c r="M39" i="3"/>
  <c r="N39" i="3"/>
  <c r="J39" i="3" l="1"/>
  <c r="I39" i="3" s="1"/>
  <c r="R39" i="3" s="1"/>
  <c r="S39" i="3" l="1"/>
  <c r="T39" i="3" s="1"/>
  <c r="P40" i="3"/>
  <c r="L39" i="3"/>
  <c r="K39" i="3"/>
  <c r="V40" i="3" l="1"/>
  <c r="Q40" i="3"/>
  <c r="U39" i="3"/>
  <c r="W39" i="3" s="1"/>
  <c r="N40" i="3"/>
  <c r="M40" i="3"/>
  <c r="J40" i="3" l="1"/>
  <c r="I40" i="3" s="1"/>
  <c r="R40" i="3" s="1"/>
  <c r="S40" i="3" l="1"/>
  <c r="T40" i="3" s="1"/>
  <c r="P41" i="3"/>
  <c r="L40" i="3"/>
  <c r="K40" i="3"/>
  <c r="V41" i="3" l="1"/>
  <c r="Q41" i="3"/>
  <c r="U40" i="3"/>
  <c r="W40" i="3" s="1"/>
  <c r="M41" i="3"/>
  <c r="N41" i="3"/>
  <c r="J41" i="3" l="1"/>
  <c r="I41" i="3" s="1"/>
  <c r="R41" i="3" s="1"/>
  <c r="S41" i="3" l="1"/>
  <c r="T41" i="3" s="1"/>
  <c r="P42" i="3"/>
  <c r="L41" i="3"/>
  <c r="K41" i="3"/>
  <c r="V42" i="3" l="1"/>
  <c r="Q42" i="3"/>
  <c r="U41" i="3"/>
  <c r="W41" i="3" s="1"/>
  <c r="N42" i="3"/>
  <c r="M42" i="3"/>
  <c r="J42" i="3" l="1"/>
  <c r="I42" i="3" s="1"/>
  <c r="R42" i="3" s="1"/>
  <c r="S42" i="3" l="1"/>
  <c r="T42" i="3" s="1"/>
  <c r="P43" i="3"/>
  <c r="L42" i="3"/>
  <c r="K42" i="3"/>
  <c r="V43" i="3" l="1"/>
  <c r="Q43" i="3"/>
  <c r="U42" i="3"/>
  <c r="W42" i="3" s="1"/>
  <c r="M43" i="3"/>
  <c r="N43" i="3"/>
  <c r="J43" i="3" l="1"/>
  <c r="I43" i="3" s="1"/>
  <c r="R43" i="3" s="1"/>
  <c r="S43" i="3" l="1"/>
  <c r="T43" i="3" s="1"/>
  <c r="P44" i="3"/>
  <c r="L43" i="3"/>
  <c r="K43" i="3"/>
  <c r="V44" i="3" l="1"/>
  <c r="Q44" i="3"/>
  <c r="U43" i="3"/>
  <c r="W43" i="3" s="1"/>
  <c r="N44" i="3"/>
  <c r="M44" i="3"/>
  <c r="J44" i="3" l="1"/>
  <c r="I44" i="3" s="1"/>
  <c r="R44" i="3" s="1"/>
  <c r="S44" i="3" l="1"/>
  <c r="T44" i="3" s="1"/>
  <c r="P45" i="3"/>
  <c r="L44" i="3"/>
  <c r="K44" i="3"/>
  <c r="V45" i="3" l="1"/>
  <c r="Q45" i="3"/>
  <c r="U44" i="3"/>
  <c r="W44" i="3" s="1"/>
  <c r="M45" i="3"/>
  <c r="N45" i="3"/>
  <c r="J45" i="3" l="1"/>
  <c r="I45" i="3" s="1"/>
  <c r="R45" i="3" s="1"/>
  <c r="S45" i="3" l="1"/>
  <c r="T45" i="3" s="1"/>
  <c r="P46" i="3"/>
  <c r="L45" i="3"/>
  <c r="K45" i="3"/>
  <c r="V46" i="3" l="1"/>
  <c r="Q46" i="3"/>
  <c r="U45" i="3"/>
  <c r="W45" i="3" s="1"/>
  <c r="N46" i="3"/>
  <c r="M46" i="3"/>
  <c r="J46" i="3" l="1"/>
  <c r="I46" i="3" s="1"/>
  <c r="R46" i="3" s="1"/>
  <c r="S46" i="3" l="1"/>
  <c r="T46" i="3" s="1"/>
  <c r="P47" i="3"/>
  <c r="L46" i="3"/>
  <c r="K46" i="3"/>
  <c r="V47" i="3" l="1"/>
  <c r="Q47" i="3"/>
  <c r="U46" i="3"/>
  <c r="W46" i="3" s="1"/>
  <c r="M47" i="3"/>
  <c r="N47" i="3"/>
  <c r="J47" i="3" l="1"/>
  <c r="I47" i="3" s="1"/>
  <c r="R47" i="3" s="1"/>
  <c r="S47" i="3" l="1"/>
  <c r="T47" i="3" s="1"/>
  <c r="P48" i="3"/>
  <c r="L47" i="3"/>
  <c r="K47" i="3"/>
  <c r="V48" i="3" l="1"/>
  <c r="Q48" i="3"/>
  <c r="U47" i="3"/>
  <c r="W47" i="3" s="1"/>
  <c r="N48" i="3"/>
  <c r="M48" i="3"/>
  <c r="J48" i="3" l="1"/>
  <c r="I48" i="3" s="1"/>
  <c r="R48" i="3" s="1"/>
  <c r="S48" i="3" l="1"/>
  <c r="T48" i="3" s="1"/>
  <c r="P49" i="3"/>
  <c r="L48" i="3"/>
  <c r="K48" i="3"/>
  <c r="V49" i="3" l="1"/>
  <c r="Q49" i="3"/>
  <c r="U48" i="3"/>
  <c r="W48" i="3" s="1"/>
  <c r="M49" i="3"/>
  <c r="N49" i="3"/>
  <c r="J49" i="3" l="1"/>
  <c r="I49" i="3" s="1"/>
  <c r="R49" i="3" s="1"/>
  <c r="S49" i="3" l="1"/>
  <c r="T49" i="3" s="1"/>
  <c r="P50" i="3"/>
  <c r="L49" i="3"/>
  <c r="K49" i="3"/>
  <c r="V50" i="3" l="1"/>
  <c r="Q50" i="3"/>
  <c r="U49" i="3"/>
  <c r="W49" i="3" s="1"/>
  <c r="N50" i="3"/>
  <c r="M50" i="3"/>
  <c r="J50" i="3" l="1"/>
  <c r="I50" i="3" s="1"/>
  <c r="R50" i="3" s="1"/>
  <c r="S50" i="3" l="1"/>
  <c r="T50" i="3" s="1"/>
  <c r="P51" i="3"/>
  <c r="L50" i="3"/>
  <c r="K50" i="3"/>
  <c r="V51" i="3" l="1"/>
  <c r="Q51" i="3"/>
  <c r="U50" i="3"/>
  <c r="W50" i="3" s="1"/>
  <c r="M51" i="3"/>
  <c r="N51" i="3"/>
  <c r="J51" i="3" l="1"/>
  <c r="I51" i="3" s="1"/>
  <c r="R51" i="3" s="1"/>
  <c r="S51" i="3" l="1"/>
  <c r="T51" i="3" s="1"/>
  <c r="P52" i="3"/>
  <c r="L51" i="3"/>
  <c r="K51" i="3"/>
  <c r="V52" i="3" l="1"/>
  <c r="Q52" i="3"/>
  <c r="U51" i="3"/>
  <c r="W51" i="3" s="1"/>
  <c r="N52" i="3"/>
  <c r="M52" i="3"/>
  <c r="J52" i="3" l="1"/>
  <c r="I52" i="3" s="1"/>
  <c r="R52" i="3" s="1"/>
  <c r="S52" i="3" l="1"/>
  <c r="T52" i="3" s="1"/>
  <c r="P53" i="3"/>
  <c r="L52" i="3"/>
  <c r="K52" i="3"/>
  <c r="V53" i="3" l="1"/>
  <c r="Q53" i="3"/>
  <c r="U52" i="3"/>
  <c r="W52" i="3" s="1"/>
  <c r="M53" i="3"/>
  <c r="N53" i="3"/>
  <c r="J53" i="3" l="1"/>
  <c r="I53" i="3" s="1"/>
  <c r="R53" i="3" s="1"/>
  <c r="S53" i="3" l="1"/>
  <c r="T53" i="3" s="1"/>
  <c r="P54" i="3"/>
  <c r="L53" i="3"/>
  <c r="K53" i="3"/>
  <c r="V54" i="3" l="1"/>
  <c r="Q54" i="3"/>
  <c r="U53" i="3"/>
  <c r="W53" i="3" s="1"/>
  <c r="N54" i="3"/>
  <c r="M54" i="3"/>
  <c r="J54" i="3" l="1"/>
  <c r="I54" i="3" s="1"/>
  <c r="R54" i="3" s="1"/>
  <c r="S54" i="3" l="1"/>
  <c r="T54" i="3" s="1"/>
  <c r="P55" i="3"/>
  <c r="L54" i="3"/>
  <c r="K54" i="3"/>
  <c r="V55" i="3" l="1"/>
  <c r="Q55" i="3"/>
  <c r="U54" i="3"/>
  <c r="W54" i="3" s="1"/>
  <c r="M55" i="3"/>
  <c r="N55" i="3"/>
  <c r="J55" i="3" l="1"/>
  <c r="I55" i="3" s="1"/>
  <c r="R55" i="3" s="1"/>
  <c r="S55" i="3" l="1"/>
  <c r="T55" i="3" s="1"/>
  <c r="P56" i="3"/>
  <c r="L55" i="3"/>
  <c r="K55" i="3"/>
  <c r="V56" i="3" l="1"/>
  <c r="Q56" i="3"/>
  <c r="U55" i="3"/>
  <c r="W55" i="3" s="1"/>
  <c r="N56" i="3"/>
  <c r="M56" i="3"/>
  <c r="J56" i="3" l="1"/>
  <c r="I56" i="3" s="1"/>
  <c r="R56" i="3" s="1"/>
  <c r="S56" i="3" l="1"/>
  <c r="T56" i="3" s="1"/>
  <c r="P57" i="3"/>
  <c r="L56" i="3"/>
  <c r="K56" i="3"/>
  <c r="V57" i="3" l="1"/>
  <c r="Q57" i="3"/>
  <c r="U56" i="3"/>
  <c r="W56" i="3" s="1"/>
  <c r="M57" i="3"/>
  <c r="N57" i="3"/>
  <c r="J57" i="3" l="1"/>
  <c r="I57" i="3" s="1"/>
  <c r="R57" i="3" s="1"/>
  <c r="S57" i="3" l="1"/>
  <c r="T57" i="3" s="1"/>
  <c r="P58" i="3"/>
  <c r="L57" i="3"/>
  <c r="K57" i="3"/>
  <c r="V58" i="3" l="1"/>
  <c r="Q58" i="3"/>
  <c r="U57" i="3"/>
  <c r="W57" i="3" s="1"/>
  <c r="N58" i="3"/>
  <c r="M58" i="3"/>
  <c r="J58" i="3" l="1"/>
  <c r="I58" i="3" s="1"/>
  <c r="R58" i="3" s="1"/>
  <c r="S58" i="3" l="1"/>
  <c r="T58" i="3" s="1"/>
  <c r="P59" i="3"/>
  <c r="L58" i="3"/>
  <c r="K58" i="3"/>
  <c r="V59" i="3" l="1"/>
  <c r="Q59" i="3"/>
  <c r="U58" i="3"/>
  <c r="W58" i="3" s="1"/>
  <c r="M59" i="3"/>
  <c r="N59" i="3"/>
  <c r="J59" i="3" l="1"/>
  <c r="I59" i="3" s="1"/>
  <c r="R59" i="3" s="1"/>
  <c r="S59" i="3" l="1"/>
  <c r="T59" i="3" s="1"/>
  <c r="P60" i="3"/>
  <c r="L59" i="3"/>
  <c r="K59" i="3"/>
  <c r="V60" i="3" l="1"/>
  <c r="Q60" i="3"/>
  <c r="U59" i="3"/>
  <c r="W59" i="3" s="1"/>
  <c r="N60" i="3"/>
  <c r="M60" i="3"/>
  <c r="J60" i="3" l="1"/>
  <c r="I60" i="3" s="1"/>
  <c r="R60" i="3" s="1"/>
  <c r="S60" i="3" l="1"/>
  <c r="T60" i="3" s="1"/>
  <c r="P61" i="3"/>
  <c r="L60" i="3"/>
  <c r="K60" i="3"/>
  <c r="V61" i="3" l="1"/>
  <c r="Q61" i="3"/>
  <c r="U60" i="3"/>
  <c r="W60" i="3" s="1"/>
  <c r="M61" i="3"/>
  <c r="N61" i="3"/>
  <c r="J61" i="3" l="1"/>
  <c r="I61" i="3" s="1"/>
  <c r="R61" i="3" s="1"/>
  <c r="S61" i="3" l="1"/>
  <c r="T61" i="3" s="1"/>
  <c r="P62" i="3"/>
  <c r="L61" i="3"/>
  <c r="K61" i="3"/>
  <c r="V62" i="3" l="1"/>
  <c r="Q62" i="3"/>
  <c r="U61" i="3"/>
  <c r="W61" i="3" s="1"/>
  <c r="N62" i="3"/>
  <c r="M62" i="3"/>
  <c r="J62" i="3" l="1"/>
  <c r="I62" i="3" s="1"/>
  <c r="R62" i="3" s="1"/>
  <c r="S62" i="3" l="1"/>
  <c r="T62" i="3" s="1"/>
  <c r="P63" i="3"/>
  <c r="L62" i="3"/>
  <c r="K62" i="3"/>
  <c r="V63" i="3" l="1"/>
  <c r="Q63" i="3"/>
  <c r="U62" i="3"/>
  <c r="W62" i="3" s="1"/>
  <c r="M63" i="3"/>
  <c r="N63" i="3"/>
  <c r="J63" i="3" l="1"/>
  <c r="I63" i="3" s="1"/>
  <c r="R63" i="3" s="1"/>
  <c r="S63" i="3" l="1"/>
  <c r="T63" i="3" s="1"/>
  <c r="P64" i="3"/>
  <c r="L63" i="3"/>
  <c r="K63" i="3"/>
  <c r="V64" i="3" l="1"/>
  <c r="Q64" i="3"/>
  <c r="U63" i="3"/>
  <c r="W63" i="3" s="1"/>
  <c r="N64" i="3"/>
  <c r="M64" i="3"/>
  <c r="J64" i="3" l="1"/>
  <c r="I64" i="3" s="1"/>
  <c r="R64" i="3" s="1"/>
  <c r="S64" i="3" l="1"/>
  <c r="T64" i="3" s="1"/>
  <c r="P65" i="3"/>
  <c r="L64" i="3"/>
  <c r="K64" i="3"/>
  <c r="V65" i="3" l="1"/>
  <c r="Q65" i="3"/>
  <c r="U64" i="3"/>
  <c r="W64" i="3" s="1"/>
  <c r="M65" i="3"/>
  <c r="N65" i="3"/>
  <c r="J65" i="3" l="1"/>
  <c r="I65" i="3" s="1"/>
  <c r="R65" i="3" s="1"/>
  <c r="S65" i="3" l="1"/>
  <c r="T65" i="3" s="1"/>
  <c r="P66" i="3"/>
  <c r="L65" i="3"/>
  <c r="K65" i="3"/>
  <c r="V66" i="3" l="1"/>
  <c r="Q66" i="3"/>
  <c r="U65" i="3"/>
  <c r="W65" i="3" s="1"/>
  <c r="N66" i="3"/>
  <c r="M66" i="3"/>
  <c r="J66" i="3" l="1"/>
  <c r="I66" i="3" s="1"/>
  <c r="R66" i="3" s="1"/>
  <c r="S66" i="3" l="1"/>
  <c r="T66" i="3" s="1"/>
  <c r="P67" i="3"/>
  <c r="L66" i="3"/>
  <c r="K66" i="3"/>
  <c r="V67" i="3" l="1"/>
  <c r="Q67" i="3"/>
  <c r="U66" i="3"/>
  <c r="W66" i="3" s="1"/>
  <c r="M67" i="3"/>
  <c r="N67" i="3"/>
  <c r="J67" i="3" l="1"/>
  <c r="I67" i="3" s="1"/>
  <c r="R67" i="3" s="1"/>
  <c r="S67" i="3" l="1"/>
  <c r="T67" i="3" s="1"/>
  <c r="P68" i="3"/>
  <c r="L67" i="3"/>
  <c r="K67" i="3"/>
  <c r="V68" i="3" l="1"/>
  <c r="Q68" i="3"/>
  <c r="U67" i="3"/>
  <c r="W67" i="3" s="1"/>
  <c r="N68" i="3"/>
  <c r="M68" i="3"/>
  <c r="J68" i="3" l="1"/>
  <c r="I68" i="3" s="1"/>
  <c r="R68" i="3" s="1"/>
  <c r="S68" i="3" l="1"/>
  <c r="T68" i="3" s="1"/>
  <c r="P69" i="3"/>
  <c r="L68" i="3"/>
  <c r="K68" i="3"/>
  <c r="V69" i="3" l="1"/>
  <c r="Q69" i="3"/>
  <c r="U68" i="3"/>
  <c r="W68" i="3" s="1"/>
  <c r="M69" i="3"/>
  <c r="N69" i="3"/>
  <c r="J69" i="3" l="1"/>
  <c r="I69" i="3" s="1"/>
  <c r="R69" i="3" s="1"/>
  <c r="S69" i="3" l="1"/>
  <c r="T69" i="3" s="1"/>
  <c r="P70" i="3"/>
  <c r="L69" i="3"/>
  <c r="K69" i="3"/>
  <c r="V70" i="3" l="1"/>
  <c r="Q70" i="3"/>
  <c r="U69" i="3"/>
  <c r="W69" i="3" s="1"/>
  <c r="N70" i="3"/>
  <c r="M70" i="3"/>
  <c r="J70" i="3" l="1"/>
  <c r="I70" i="3" s="1"/>
  <c r="R70" i="3" s="1"/>
  <c r="S70" i="3" l="1"/>
  <c r="T70" i="3" s="1"/>
  <c r="P71" i="3"/>
  <c r="L70" i="3"/>
  <c r="K70" i="3"/>
  <c r="V71" i="3" l="1"/>
  <c r="Q71" i="3"/>
  <c r="U70" i="3"/>
  <c r="W70" i="3" s="1"/>
  <c r="M71" i="3"/>
  <c r="N71" i="3"/>
  <c r="J71" i="3" l="1"/>
  <c r="I71" i="3" s="1"/>
  <c r="R71" i="3" s="1"/>
  <c r="S71" i="3" l="1"/>
  <c r="T71" i="3" s="1"/>
  <c r="P72" i="3"/>
  <c r="L71" i="3"/>
  <c r="K71" i="3"/>
  <c r="V72" i="3" l="1"/>
  <c r="Q72" i="3"/>
  <c r="U71" i="3"/>
  <c r="W71" i="3" s="1"/>
  <c r="N72" i="3"/>
  <c r="M72" i="3"/>
  <c r="J72" i="3" l="1"/>
  <c r="I72" i="3" s="1"/>
  <c r="R72" i="3" s="1"/>
  <c r="S72" i="3" l="1"/>
  <c r="T72" i="3" s="1"/>
  <c r="P73" i="3"/>
  <c r="L72" i="3"/>
  <c r="K72" i="3"/>
  <c r="V73" i="3" l="1"/>
  <c r="Q73" i="3"/>
  <c r="U72" i="3"/>
  <c r="W72" i="3" s="1"/>
  <c r="M73" i="3"/>
  <c r="N73" i="3"/>
  <c r="J73" i="3" l="1"/>
  <c r="I73" i="3" s="1"/>
  <c r="R73" i="3" s="1"/>
  <c r="S73" i="3" l="1"/>
  <c r="T73" i="3" s="1"/>
  <c r="P74" i="3"/>
  <c r="L73" i="3"/>
  <c r="K73" i="3"/>
  <c r="V74" i="3" l="1"/>
  <c r="Q74" i="3"/>
  <c r="U73" i="3"/>
  <c r="W73" i="3" s="1"/>
  <c r="N74" i="3"/>
  <c r="M74" i="3"/>
  <c r="J74" i="3" l="1"/>
  <c r="I74" i="3" s="1"/>
  <c r="R74" i="3" s="1"/>
  <c r="S74" i="3" l="1"/>
  <c r="T74" i="3" s="1"/>
  <c r="P75" i="3"/>
  <c r="L74" i="3"/>
  <c r="K74" i="3"/>
  <c r="V75" i="3" l="1"/>
  <c r="Q75" i="3"/>
  <c r="U74" i="3"/>
  <c r="W74" i="3" s="1"/>
  <c r="M75" i="3"/>
  <c r="N75" i="3"/>
  <c r="J75" i="3" l="1"/>
  <c r="I75" i="3" s="1"/>
  <c r="R75" i="3" s="1"/>
  <c r="S75" i="3" l="1"/>
  <c r="T75" i="3" s="1"/>
  <c r="P76" i="3"/>
  <c r="L75" i="3"/>
  <c r="K75" i="3"/>
  <c r="V76" i="3" l="1"/>
  <c r="Q76" i="3"/>
  <c r="U75" i="3"/>
  <c r="W75" i="3" s="1"/>
  <c r="N76" i="3"/>
  <c r="M76" i="3"/>
  <c r="J76" i="3" l="1"/>
  <c r="I76" i="3" s="1"/>
  <c r="R76" i="3" s="1"/>
  <c r="S76" i="3" l="1"/>
  <c r="T76" i="3" s="1"/>
  <c r="P77" i="3"/>
  <c r="L76" i="3"/>
  <c r="K76" i="3"/>
  <c r="V77" i="3" l="1"/>
  <c r="Q77" i="3"/>
  <c r="U76" i="3"/>
  <c r="W76" i="3" s="1"/>
  <c r="M77" i="3"/>
  <c r="N77" i="3"/>
  <c r="J77" i="3" l="1"/>
  <c r="I77" i="3" s="1"/>
  <c r="R77" i="3" s="1"/>
  <c r="S77" i="3" l="1"/>
  <c r="T77" i="3" s="1"/>
  <c r="P78" i="3"/>
  <c r="L77" i="3"/>
  <c r="K77" i="3"/>
  <c r="V78" i="3" l="1"/>
  <c r="Q78" i="3"/>
  <c r="U77" i="3"/>
  <c r="W77" i="3" s="1"/>
  <c r="N78" i="3"/>
  <c r="M78" i="3"/>
  <c r="J78" i="3" l="1"/>
  <c r="I78" i="3" s="1"/>
  <c r="R78" i="3" s="1"/>
  <c r="S78" i="3" l="1"/>
  <c r="T78" i="3" s="1"/>
  <c r="P79" i="3"/>
  <c r="L78" i="3"/>
  <c r="K78" i="3"/>
  <c r="V79" i="3" l="1"/>
  <c r="Q79" i="3"/>
  <c r="U78" i="3"/>
  <c r="W78" i="3" s="1"/>
  <c r="M79" i="3"/>
  <c r="N79" i="3"/>
  <c r="J79" i="3" l="1"/>
  <c r="I79" i="3" s="1"/>
  <c r="R79" i="3" s="1"/>
  <c r="S79" i="3" l="1"/>
  <c r="T79" i="3" s="1"/>
  <c r="P80" i="3"/>
  <c r="L79" i="3"/>
  <c r="K79" i="3"/>
  <c r="V80" i="3" l="1"/>
  <c r="Q80" i="3"/>
  <c r="U79" i="3"/>
  <c r="W79" i="3" s="1"/>
  <c r="N80" i="3"/>
  <c r="M80" i="3"/>
  <c r="J80" i="3" l="1"/>
  <c r="I80" i="3" s="1"/>
  <c r="R80" i="3" s="1"/>
  <c r="S80" i="3" l="1"/>
  <c r="T80" i="3" s="1"/>
  <c r="P81" i="3"/>
  <c r="L80" i="3"/>
  <c r="K80" i="3"/>
  <c r="V81" i="3" l="1"/>
  <c r="Q81" i="3"/>
  <c r="U80" i="3"/>
  <c r="W80" i="3" s="1"/>
  <c r="M81" i="3"/>
  <c r="N81" i="3"/>
  <c r="J81" i="3" l="1"/>
  <c r="I81" i="3" s="1"/>
  <c r="R81" i="3" s="1"/>
  <c r="S81" i="3" l="1"/>
  <c r="T81" i="3" s="1"/>
  <c r="P82" i="3"/>
  <c r="L81" i="3"/>
  <c r="K81" i="3"/>
  <c r="V82" i="3" l="1"/>
  <c r="Q82" i="3"/>
  <c r="U81" i="3"/>
  <c r="W81" i="3" s="1"/>
  <c r="N82" i="3"/>
  <c r="M82" i="3"/>
  <c r="J82" i="3" l="1"/>
  <c r="I82" i="3" s="1"/>
  <c r="R82" i="3" s="1"/>
  <c r="S82" i="3" l="1"/>
  <c r="T82" i="3" s="1"/>
  <c r="P83" i="3"/>
  <c r="L82" i="3"/>
  <c r="K82" i="3"/>
  <c r="V83" i="3" l="1"/>
  <c r="Q83" i="3"/>
  <c r="U82" i="3"/>
  <c r="W82" i="3" s="1"/>
  <c r="M83" i="3"/>
  <c r="N83" i="3"/>
  <c r="J83" i="3" l="1"/>
  <c r="I83" i="3" s="1"/>
  <c r="R83" i="3" s="1"/>
  <c r="S83" i="3" l="1"/>
  <c r="T83" i="3" s="1"/>
  <c r="P84" i="3"/>
  <c r="L83" i="3"/>
  <c r="K83" i="3"/>
  <c r="V84" i="3" l="1"/>
  <c r="Q84" i="3"/>
  <c r="U83" i="3"/>
  <c r="W83" i="3" s="1"/>
  <c r="N84" i="3"/>
  <c r="M84" i="3"/>
  <c r="J84" i="3" l="1"/>
  <c r="I84" i="3" s="1"/>
  <c r="R84" i="3" s="1"/>
  <c r="S84" i="3" l="1"/>
  <c r="T84" i="3" s="1"/>
  <c r="P85" i="3"/>
  <c r="L84" i="3"/>
  <c r="K84" i="3"/>
  <c r="V85" i="3" l="1"/>
  <c r="Q85" i="3"/>
  <c r="U84" i="3"/>
  <c r="W84" i="3" s="1"/>
  <c r="M85" i="3"/>
  <c r="N85" i="3"/>
  <c r="J85" i="3" l="1"/>
  <c r="I85" i="3" s="1"/>
  <c r="R85" i="3" s="1"/>
  <c r="S85" i="3" l="1"/>
  <c r="T85" i="3" s="1"/>
  <c r="P86" i="3"/>
  <c r="L85" i="3"/>
  <c r="K85" i="3"/>
  <c r="V86" i="3" l="1"/>
  <c r="Q86" i="3"/>
  <c r="U85" i="3"/>
  <c r="W85" i="3" s="1"/>
  <c r="N86" i="3"/>
  <c r="M86" i="3"/>
  <c r="J86" i="3" l="1"/>
  <c r="I86" i="3" s="1"/>
  <c r="R86" i="3" s="1"/>
  <c r="S86" i="3" l="1"/>
  <c r="T86" i="3" s="1"/>
  <c r="P87" i="3"/>
  <c r="L86" i="3"/>
  <c r="K86" i="3"/>
  <c r="V87" i="3" l="1"/>
  <c r="Q87" i="3"/>
  <c r="U86" i="3"/>
  <c r="W86" i="3" s="1"/>
  <c r="M87" i="3"/>
  <c r="N87" i="3"/>
  <c r="J87" i="3" l="1"/>
  <c r="I87" i="3" s="1"/>
  <c r="R87" i="3" s="1"/>
  <c r="S87" i="3" l="1"/>
  <c r="T87" i="3" s="1"/>
  <c r="P88" i="3"/>
  <c r="L87" i="3"/>
  <c r="K87" i="3"/>
  <c r="V88" i="3" l="1"/>
  <c r="Q88" i="3"/>
  <c r="U87" i="3"/>
  <c r="W87" i="3" s="1"/>
  <c r="N88" i="3"/>
  <c r="M88" i="3"/>
  <c r="J88" i="3" l="1"/>
  <c r="I88" i="3" s="1"/>
  <c r="R88" i="3" s="1"/>
  <c r="S88" i="3" l="1"/>
  <c r="T88" i="3" s="1"/>
  <c r="P89" i="3"/>
  <c r="L88" i="3"/>
  <c r="K88" i="3"/>
  <c r="V89" i="3" l="1"/>
  <c r="Q89" i="3"/>
  <c r="U88" i="3"/>
  <c r="W88" i="3" s="1"/>
  <c r="M89" i="3"/>
  <c r="N89" i="3"/>
  <c r="J89" i="3" l="1"/>
  <c r="I89" i="3" s="1"/>
  <c r="R89" i="3" s="1"/>
  <c r="S89" i="3" l="1"/>
  <c r="T89" i="3" s="1"/>
  <c r="P90" i="3"/>
  <c r="L89" i="3"/>
  <c r="K89" i="3"/>
  <c r="V90" i="3" l="1"/>
  <c r="Q90" i="3"/>
  <c r="U89" i="3"/>
  <c r="W89" i="3" s="1"/>
  <c r="N90" i="3"/>
  <c r="M90" i="3"/>
  <c r="J90" i="3" l="1"/>
  <c r="I90" i="3" s="1"/>
  <c r="R90" i="3" s="1"/>
  <c r="S90" i="3" l="1"/>
  <c r="T90" i="3" s="1"/>
  <c r="P91" i="3"/>
  <c r="L90" i="3"/>
  <c r="K90" i="3"/>
  <c r="V91" i="3" l="1"/>
  <c r="Q91" i="3"/>
  <c r="U90" i="3"/>
  <c r="W90" i="3" s="1"/>
  <c r="M91" i="3"/>
  <c r="N91" i="3"/>
  <c r="J91" i="3" l="1"/>
  <c r="I91" i="3" s="1"/>
  <c r="R91" i="3" s="1"/>
  <c r="S91" i="3" l="1"/>
  <c r="T91" i="3" s="1"/>
  <c r="P92" i="3"/>
  <c r="L91" i="3"/>
  <c r="K91" i="3"/>
  <c r="V92" i="3" l="1"/>
  <c r="Q92" i="3"/>
  <c r="U91" i="3"/>
  <c r="W91" i="3" s="1"/>
  <c r="N92" i="3"/>
  <c r="M92" i="3"/>
  <c r="J92" i="3" l="1"/>
  <c r="I92" i="3" s="1"/>
  <c r="R92" i="3" s="1"/>
  <c r="S92" i="3" l="1"/>
  <c r="T92" i="3" s="1"/>
  <c r="P93" i="3"/>
  <c r="L92" i="3"/>
  <c r="K92" i="3"/>
  <c r="V93" i="3" l="1"/>
  <c r="Q93" i="3"/>
  <c r="U92" i="3"/>
  <c r="W92" i="3" s="1"/>
  <c r="M93" i="3"/>
  <c r="N93" i="3"/>
  <c r="J93" i="3" l="1"/>
  <c r="I93" i="3" s="1"/>
  <c r="R93" i="3" s="1"/>
  <c r="S93" i="3" l="1"/>
  <c r="T93" i="3" s="1"/>
  <c r="P94" i="3"/>
  <c r="L93" i="3"/>
  <c r="K93" i="3"/>
  <c r="V94" i="3" l="1"/>
  <c r="Q94" i="3"/>
  <c r="U93" i="3"/>
  <c r="W93" i="3" s="1"/>
  <c r="N94" i="3"/>
  <c r="M94" i="3"/>
  <c r="J94" i="3" l="1"/>
  <c r="I94" i="3" s="1"/>
  <c r="R94" i="3" s="1"/>
  <c r="S94" i="3" l="1"/>
  <c r="T94" i="3" s="1"/>
  <c r="P95" i="3"/>
  <c r="L94" i="3"/>
  <c r="K94" i="3"/>
  <c r="V95" i="3" l="1"/>
  <c r="Q95" i="3"/>
  <c r="U94" i="3"/>
  <c r="W94" i="3" s="1"/>
  <c r="M95" i="3"/>
  <c r="N95" i="3"/>
  <c r="J95" i="3" l="1"/>
  <c r="I95" i="3" s="1"/>
  <c r="R95" i="3" s="1"/>
  <c r="S95" i="3" l="1"/>
  <c r="T95" i="3" s="1"/>
  <c r="P96" i="3"/>
  <c r="L95" i="3"/>
  <c r="K95" i="3"/>
  <c r="V96" i="3" l="1"/>
  <c r="Q96" i="3"/>
  <c r="U95" i="3"/>
  <c r="W95" i="3" s="1"/>
  <c r="N96" i="3"/>
  <c r="M96" i="3"/>
  <c r="J96" i="3" l="1"/>
  <c r="I96" i="3" s="1"/>
  <c r="R96" i="3" s="1"/>
  <c r="S96" i="3" l="1"/>
  <c r="T96" i="3" s="1"/>
  <c r="P97" i="3"/>
  <c r="L96" i="3"/>
  <c r="K96" i="3"/>
  <c r="V97" i="3" l="1"/>
  <c r="Q97" i="3"/>
  <c r="U96" i="3"/>
  <c r="W96" i="3" s="1"/>
  <c r="M97" i="3"/>
  <c r="N97" i="3"/>
  <c r="J97" i="3" l="1"/>
  <c r="I97" i="3" s="1"/>
  <c r="R97" i="3" s="1"/>
  <c r="S97" i="3" l="1"/>
  <c r="T97" i="3" s="1"/>
  <c r="P98" i="3"/>
  <c r="L97" i="3"/>
  <c r="K97" i="3"/>
  <c r="V98" i="3" l="1"/>
  <c r="Q98" i="3"/>
  <c r="U97" i="3"/>
  <c r="W97" i="3" s="1"/>
  <c r="N98" i="3"/>
  <c r="M98" i="3"/>
  <c r="J98" i="3" l="1"/>
  <c r="I98" i="3" s="1"/>
  <c r="R98" i="3" s="1"/>
  <c r="S98" i="3" l="1"/>
  <c r="T98" i="3" s="1"/>
  <c r="P99" i="3"/>
  <c r="L98" i="3"/>
  <c r="K98" i="3"/>
  <c r="V99" i="3" l="1"/>
  <c r="Q99" i="3"/>
  <c r="U98" i="3"/>
  <c r="W98" i="3" s="1"/>
  <c r="M99" i="3"/>
  <c r="N99" i="3"/>
  <c r="J99" i="3" l="1"/>
  <c r="I99" i="3" s="1"/>
  <c r="R99" i="3" s="1"/>
  <c r="S99" i="3" l="1"/>
  <c r="T99" i="3" s="1"/>
  <c r="P100" i="3"/>
  <c r="L99" i="3"/>
  <c r="K99" i="3"/>
  <c r="V100" i="3" l="1"/>
  <c r="Q100" i="3"/>
  <c r="U99" i="3"/>
  <c r="W99" i="3" s="1"/>
  <c r="N100" i="3"/>
  <c r="M100" i="3"/>
  <c r="J100" i="3" l="1"/>
  <c r="I100" i="3" s="1"/>
  <c r="R100" i="3" s="1"/>
  <c r="S100" i="3" l="1"/>
  <c r="T100" i="3" s="1"/>
  <c r="P101" i="3"/>
  <c r="L100" i="3"/>
  <c r="K100" i="3"/>
  <c r="V101" i="3" l="1"/>
  <c r="Q101" i="3"/>
  <c r="U100" i="3"/>
  <c r="W100" i="3" s="1"/>
  <c r="M101" i="3"/>
  <c r="N101" i="3"/>
  <c r="J101" i="3" l="1"/>
  <c r="I101" i="3" s="1"/>
  <c r="R101" i="3" s="1"/>
  <c r="S101" i="3" l="1"/>
  <c r="T101" i="3" s="1"/>
  <c r="P102" i="3"/>
  <c r="L101" i="3"/>
  <c r="K101" i="3"/>
  <c r="Q102" i="3" l="1"/>
  <c r="V102" i="3"/>
  <c r="U101" i="3"/>
  <c r="W101" i="3" s="1"/>
  <c r="N102" i="3"/>
  <c r="M102" i="3"/>
  <c r="J102" i="3" s="1"/>
  <c r="I102" i="3" s="1"/>
  <c r="R102" i="3" l="1"/>
  <c r="S102" i="3" s="1"/>
  <c r="T102" i="3" s="1"/>
  <c r="L102" i="3"/>
  <c r="K102" i="3"/>
  <c r="U102" i="3" l="1"/>
  <c r="W102" i="3" s="1"/>
</calcChain>
</file>

<file path=xl/sharedStrings.xml><?xml version="1.0" encoding="utf-8"?>
<sst xmlns="http://schemas.openxmlformats.org/spreadsheetml/2006/main" count="100" uniqueCount="90">
  <si>
    <t>PARAMETERS</t>
  </si>
  <si>
    <t>Time (s)</t>
  </si>
  <si>
    <t>mdot(ox)</t>
  </si>
  <si>
    <t>p(ox)</t>
  </si>
  <si>
    <t>mox</t>
  </si>
  <si>
    <t>V dot</t>
  </si>
  <si>
    <t>Vox gas</t>
  </si>
  <si>
    <t>Vox liquid</t>
  </si>
  <si>
    <t>P_c</t>
  </si>
  <si>
    <t>r_port (port radius</t>
  </si>
  <si>
    <t>Aport</t>
  </si>
  <si>
    <t>rdot (Regression rate)</t>
  </si>
  <si>
    <t>Mdot_f(vaporized)</t>
  </si>
  <si>
    <t>M_f(Total mass vaporized)</t>
  </si>
  <si>
    <t>m_chamber</t>
  </si>
  <si>
    <t>V_chamb</t>
  </si>
  <si>
    <t>rho_chmb</t>
  </si>
  <si>
    <t>O/F</t>
  </si>
  <si>
    <t>Ru</t>
  </si>
  <si>
    <t>Tc (K)</t>
  </si>
  <si>
    <t>M</t>
  </si>
  <si>
    <t>γ - Ratio of specific heat</t>
  </si>
  <si>
    <t>Pc (Chamber pressure)</t>
  </si>
  <si>
    <t>v_exit</t>
  </si>
  <si>
    <t>m_dot_exit</t>
  </si>
  <si>
    <t>Thrust</t>
  </si>
  <si>
    <t>Symbol</t>
  </si>
  <si>
    <t>Value</t>
  </si>
  <si>
    <t>Units</t>
  </si>
  <si>
    <t>Description</t>
  </si>
  <si>
    <t>Cd_injector</t>
  </si>
  <si>
    <t>dimensionless</t>
  </si>
  <si>
    <t>Coefficient of discharge, orifice</t>
  </si>
  <si>
    <t>A_injector_total</t>
  </si>
  <si>
    <t>m^2</t>
  </si>
  <si>
    <t>Cross-sectional area (total) of injection</t>
  </si>
  <si>
    <t>n_holes</t>
  </si>
  <si>
    <t>Number of holes, injector</t>
  </si>
  <si>
    <t>hole_diameter</t>
  </si>
  <si>
    <t>m</t>
  </si>
  <si>
    <t>Diameter of injection holes</t>
  </si>
  <si>
    <t>rho_ox</t>
  </si>
  <si>
    <t>Kg/m^3</t>
  </si>
  <si>
    <t>Density of oxidizer</t>
  </si>
  <si>
    <t>P_tank</t>
  </si>
  <si>
    <t>Pa</t>
  </si>
  <si>
    <t>Pressure of oxidizer tank</t>
  </si>
  <si>
    <t>P_chamber</t>
  </si>
  <si>
    <t>Pressure of combustion chamber, pre fire</t>
  </si>
  <si>
    <t>m_ox</t>
  </si>
  <si>
    <t>Kg/s</t>
  </si>
  <si>
    <t>Mass flow rate of oxidizer, initial</t>
  </si>
  <si>
    <t>delta t</t>
  </si>
  <si>
    <t>s</t>
  </si>
  <si>
    <t>Timestep</t>
  </si>
  <si>
    <t>V_ox_Gas</t>
  </si>
  <si>
    <t>m^3</t>
  </si>
  <si>
    <t>Initial volime of gas pressurant</t>
  </si>
  <si>
    <t>V_ox_liquid</t>
  </si>
  <si>
    <t>Initial Volume of liquid oxidizer</t>
  </si>
  <si>
    <t>V_ox</t>
  </si>
  <si>
    <t>Total Volume of oxidizer tank</t>
  </si>
  <si>
    <t>P1V1</t>
  </si>
  <si>
    <t>Pa*m^3</t>
  </si>
  <si>
    <t>Initial pressure * volume in oxidizer tank</t>
  </si>
  <si>
    <t xml:space="preserve">L </t>
  </si>
  <si>
    <t>Fuel Port Length</t>
  </si>
  <si>
    <t>Ip</t>
  </si>
  <si>
    <t>Initial fuel port radius</t>
  </si>
  <si>
    <t>a</t>
  </si>
  <si>
    <t>scalar</t>
  </si>
  <si>
    <t>burn rate coefficient</t>
  </si>
  <si>
    <t>n</t>
  </si>
  <si>
    <t>pressure exponent</t>
  </si>
  <si>
    <t>rho_f</t>
  </si>
  <si>
    <t>Fuel Density</t>
  </si>
  <si>
    <t>V_caps</t>
  </si>
  <si>
    <t>V1 and V3</t>
  </si>
  <si>
    <t>At</t>
  </si>
  <si>
    <t>Cross sectional area of nozzle throat</t>
  </si>
  <si>
    <t>Dt</t>
  </si>
  <si>
    <t>diameter of nozzle throat</t>
  </si>
  <si>
    <t>C*</t>
  </si>
  <si>
    <t>Characteristic Velocity</t>
  </si>
  <si>
    <t>R</t>
  </si>
  <si>
    <t>Specific Gas Constant</t>
  </si>
  <si>
    <t>Cd_nozzle</t>
  </si>
  <si>
    <t>Coefficient of discharge, nozzle</t>
  </si>
  <si>
    <t>Rho_gas</t>
  </si>
  <si>
    <t>Density of gas in combustion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</si>
</sst>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C00000"/>
      <name val="Calibri"/>
      <family val="2"/>
    </font>
    <font>
      <b/>
      <i/>
      <u/>
      <sz val="11"/>
      <color rgb="FFC00000"/>
      <name val="Aptos Narrow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FB1D-E03A-455E-BFF2-4076635E1439}">
  <dimension ref="A1:AF108"/>
  <sheetViews>
    <sheetView tabSelected="1" topLeftCell="R1" workbookViewId="0">
      <selection activeCell="AD1" sqref="AD1:AF1"/>
    </sheetView>
  </sheetViews>
  <sheetFormatPr defaultRowHeight="15"/>
  <cols>
    <col min="2" max="2" width="24.7109375" customWidth="1"/>
    <col min="3" max="3" width="20.7109375" customWidth="1"/>
    <col min="6" max="6" width="20.85546875" customWidth="1"/>
    <col min="7" max="7" width="23.7109375" customWidth="1"/>
    <col min="8" max="9" width="9.28515625" bestFit="1" customWidth="1"/>
    <col min="11" max="14" width="9.28515625" bestFit="1" customWidth="1"/>
    <col min="16" max="16" width="18.7109375" customWidth="1"/>
    <col min="17" max="17" width="9.28515625" bestFit="1" customWidth="1"/>
    <col min="18" max="18" width="18.42578125" customWidth="1"/>
    <col min="19" max="19" width="18.85546875" customWidth="1"/>
    <col min="20" max="20" width="26.28515625" customWidth="1"/>
    <col min="21" max="21" width="12.42578125" customWidth="1"/>
    <col min="22" max="24" width="9.28515625" bestFit="1" customWidth="1"/>
    <col min="28" max="28" width="21.140625" customWidth="1"/>
    <col min="29" max="29" width="22.140625" customWidth="1"/>
    <col min="30" max="30" width="7.28515625" customWidth="1"/>
    <col min="31" max="31" width="11.42578125" customWidth="1"/>
    <col min="32" max="32" width="9.28515625" bestFit="1" customWidth="1"/>
  </cols>
  <sheetData>
    <row r="1" spans="1:32">
      <c r="A1" s="5" t="s">
        <v>0</v>
      </c>
      <c r="B1" s="2"/>
      <c r="C1" s="2"/>
      <c r="D1" s="2"/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7</v>
      </c>
      <c r="O1" s="7" t="s">
        <v>8</v>
      </c>
      <c r="P1" s="7" t="s">
        <v>9</v>
      </c>
      <c r="Q1" s="6" t="s">
        <v>10</v>
      </c>
      <c r="R1" s="7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16</v>
      </c>
      <c r="X1" s="7" t="s">
        <v>17</v>
      </c>
      <c r="Y1" s="6" t="s">
        <v>18</v>
      </c>
      <c r="Z1" s="6" t="s">
        <v>19</v>
      </c>
      <c r="AA1" s="6" t="s">
        <v>20</v>
      </c>
      <c r="AB1" s="7" t="s">
        <v>21</v>
      </c>
      <c r="AC1" s="6" t="s">
        <v>22</v>
      </c>
      <c r="AD1" s="6" t="s">
        <v>23</v>
      </c>
      <c r="AE1" s="6" t="s">
        <v>24</v>
      </c>
      <c r="AF1" s="6" t="s">
        <v>25</v>
      </c>
    </row>
    <row r="2" spans="1:32">
      <c r="A2" s="2" t="s">
        <v>26</v>
      </c>
      <c r="B2" s="2" t="s">
        <v>27</v>
      </c>
      <c r="C2" s="2" t="s">
        <v>28</v>
      </c>
      <c r="D2" s="2" t="s">
        <v>29</v>
      </c>
      <c r="H2">
        <v>0</v>
      </c>
      <c r="I2" s="1">
        <v>0</v>
      </c>
      <c r="J2">
        <f>$B$8*($B$12 / M2)</f>
        <v>18960000</v>
      </c>
      <c r="K2">
        <v>0</v>
      </c>
      <c r="L2" s="1">
        <f>I2/$B$7</f>
        <v>0</v>
      </c>
      <c r="M2">
        <f>$B$12</f>
        <v>7.4499999999999995E-5</v>
      </c>
      <c r="N2">
        <v>0</v>
      </c>
      <c r="O2">
        <v>83000</v>
      </c>
      <c r="P2" s="1">
        <v>0.1016</v>
      </c>
      <c r="Q2" s="1">
        <f>PI()*(P2^2)</f>
        <v>3.2429278662239852E-2</v>
      </c>
      <c r="R2" s="1">
        <f>$B$18 *((I2/Q2)^$B$19)</f>
        <v>0</v>
      </c>
      <c r="S2" s="1">
        <f>$B$20*R2*Q2</f>
        <v>0</v>
      </c>
      <c r="T2">
        <v>0</v>
      </c>
      <c r="U2" s="1">
        <f>T2+I2</f>
        <v>0</v>
      </c>
      <c r="V2" s="1">
        <f>$B$21+(PI()*(P2^2)*$E$12)</f>
        <v>3.0145899999999999E-5</v>
      </c>
      <c r="W2" s="1">
        <f>U2/V2</f>
        <v>0</v>
      </c>
      <c r="X2" s="1" t="e">
        <f>I2/S2</f>
        <v>#DIV/0!</v>
      </c>
      <c r="Y2">
        <f>8314.5/AA2</f>
        <v>356.00513808606291</v>
      </c>
      <c r="Z2">
        <v>2929</v>
      </c>
      <c r="AA2">
        <v>23.355</v>
      </c>
      <c r="AB2">
        <v>1.2706</v>
      </c>
      <c r="AC2" s="1">
        <f>((I2+S2)*$B$24)/$B$22</f>
        <v>0</v>
      </c>
      <c r="AD2">
        <v>0</v>
      </c>
      <c r="AE2" s="1">
        <f xml:space="preserve"> $B$26 * $B$22 * SQRT( (AB2 * $B$27) * (AC2) * ((2 / (AB2 + 1)) ^ ((AB2 + 1) / (AB2 - 1))) )</f>
        <v>0</v>
      </c>
      <c r="AF2">
        <v>0</v>
      </c>
    </row>
    <row r="3" spans="1:32">
      <c r="A3" s="3" t="s">
        <v>30</v>
      </c>
      <c r="B3" s="2">
        <v>0.75</v>
      </c>
      <c r="C3" s="2" t="s">
        <v>31</v>
      </c>
      <c r="D3" s="2" t="s">
        <v>32</v>
      </c>
      <c r="H3" s="1">
        <f>0.1</f>
        <v>0.1</v>
      </c>
      <c r="I3" s="1">
        <f>$B$3*$B$4*SQRT(2*$B$7*((J3-$B$9)))</f>
        <v>0.29181719910930543</v>
      </c>
      <c r="J3">
        <f>$B$8*($B$12 / M3)</f>
        <v>18960000</v>
      </c>
      <c r="K3" s="1">
        <f>$B$3*$B$4*SQRT(2*$B$7*((J3-$B$9)*6894.76))</f>
        <v>24.230951115613951</v>
      </c>
      <c r="L3" s="1">
        <f>I3/$B$7</f>
        <v>2.4318099925775452E-4</v>
      </c>
      <c r="M3" s="1">
        <f>M2 + (L2*$B$11)</f>
        <v>7.4499999999999995E-5</v>
      </c>
      <c r="N3" s="1">
        <f>N2+(L2*$B$11)</f>
        <v>0</v>
      </c>
      <c r="O3">
        <v>83000</v>
      </c>
      <c r="P3" s="1">
        <f>P2 + (R2 * $B$11)</f>
        <v>0.1016</v>
      </c>
      <c r="Q3" s="1">
        <f>PI()*(P3^2)</f>
        <v>3.2429278662239852E-2</v>
      </c>
      <c r="R3" s="1">
        <f>$B$18 *((I3/Q3)^$B$19)</f>
        <v>1.7396429909761063E-3</v>
      </c>
      <c r="S3" s="1">
        <f t="shared" ref="S3:S66" si="0">$B$20*R3*Q3</f>
        <v>6.9955055485698928E-2</v>
      </c>
      <c r="T3" s="1">
        <f>T2 + (S3*$B$11)</f>
        <v>6.9955055485698935E-3</v>
      </c>
      <c r="U3" s="1">
        <f t="shared" ref="U3:U66" si="1">T3+I3</f>
        <v>0.29881270465787529</v>
      </c>
      <c r="V3" s="1">
        <f>$B$21+(PI()*(P3^2)*$E$12)</f>
        <v>3.0145899999999999E-5</v>
      </c>
      <c r="W3" s="1">
        <f t="shared" ref="W3:W66" si="2">U3/V3</f>
        <v>9912.2170728979836</v>
      </c>
      <c r="X3" s="1">
        <f>I3/S3</f>
        <v>4.17149549926327</v>
      </c>
      <c r="Y3">
        <f t="shared" ref="Y3:Y66" si="3">8314.5/AA3</f>
        <v>356.00513808606291</v>
      </c>
      <c r="Z3">
        <v>2929</v>
      </c>
      <c r="AA3">
        <v>23.355</v>
      </c>
      <c r="AB3">
        <v>1.2706</v>
      </c>
      <c r="AC3" s="1">
        <f t="shared" ref="AC3:AC66" si="4">((I3+S3)*$B$24)/$B$22</f>
        <v>15639379.797147235</v>
      </c>
      <c r="AD3">
        <f>SQRT(((2*AB2/AB2-1))*((Y2*Z2)/AA2))</f>
        <v>211.29921472651296</v>
      </c>
      <c r="AE3" s="1">
        <f t="shared" ref="AE3:AE66" si="5" xml:space="preserve"> $B$26 * $B$22 * SQRT( (AB3 * $B$27) * (AC3) * ((2 / (AB3 + 1)) ^ ((AB3 + 1) / (AB3 - 1))) )</f>
        <v>7.0675718107787971E-2</v>
      </c>
      <c r="AF3" s="1">
        <f>AD3*AE3</f>
        <v>14.933723736407991</v>
      </c>
    </row>
    <row r="4" spans="1:32">
      <c r="A4" s="3" t="s">
        <v>33</v>
      </c>
      <c r="B4" s="2">
        <v>1.824E-6</v>
      </c>
      <c r="C4" s="2" t="s">
        <v>34</v>
      </c>
      <c r="D4" s="2" t="s">
        <v>35</v>
      </c>
      <c r="H4" s="1">
        <f>H3+$B$11</f>
        <v>0.2</v>
      </c>
      <c r="I4" s="1">
        <f>$B$3*$B$4*SQRT(2*$B$7*((J4-$B$9)))</f>
        <v>0.25337908973358447</v>
      </c>
      <c r="J4">
        <f t="shared" ref="J4:J67" si="6">$B$8*($B$12 / M4)</f>
        <v>14294142.480587831</v>
      </c>
      <c r="K4" s="1">
        <f t="shared" ref="K4:K67" si="7">$B$3*$B$4*SQRT(2*$B$7*((J4-$B$9)*6894.76))</f>
        <v>21.03925456002181</v>
      </c>
      <c r="L4" s="1">
        <f>I4/$B$7</f>
        <v>2.1114924144465373E-4</v>
      </c>
      <c r="M4" s="1">
        <f t="shared" ref="M4:M67" si="8">M3 + (L3*$B$11)</f>
        <v>9.8818099925775446E-5</v>
      </c>
      <c r="N4" s="1">
        <f>N3+(L3*$B$11)</f>
        <v>2.4318099925775452E-5</v>
      </c>
      <c r="O4">
        <v>83000</v>
      </c>
      <c r="P4" s="1">
        <f>P3 + (R3 * $B$11)</f>
        <v>0.1017739642990976</v>
      </c>
      <c r="Q4" s="1">
        <f>PI()*(P4^2)</f>
        <v>3.254042761076345E-2</v>
      </c>
      <c r="R4" s="1">
        <f>$B$18 *((I4/Q4)^$B$19)</f>
        <v>1.5495274259869367E-3</v>
      </c>
      <c r="S4" s="1">
        <f t="shared" si="0"/>
        <v>6.2523633444913462E-2</v>
      </c>
      <c r="T4" s="1">
        <f t="shared" ref="T4:T67" si="9">T3 + (S4*$B$11)</f>
        <v>1.3247868893061239E-2</v>
      </c>
      <c r="U4" s="1">
        <f t="shared" si="1"/>
        <v>0.2666269586266457</v>
      </c>
      <c r="V4" s="1">
        <f>$B$21+(PI()*(P4^2)*$E$12)</f>
        <v>3.0145899999999999E-5</v>
      </c>
      <c r="W4" s="1">
        <f t="shared" si="2"/>
        <v>8844.5512864650154</v>
      </c>
      <c r="X4" s="1">
        <f t="shared" ref="X3:X66" si="10">I4/S4</f>
        <v>4.0525330306791032</v>
      </c>
      <c r="Y4">
        <f t="shared" si="3"/>
        <v>356.00513808606291</v>
      </c>
      <c r="Z4">
        <v>2929</v>
      </c>
      <c r="AA4">
        <v>23.355</v>
      </c>
      <c r="AB4">
        <v>1.2706</v>
      </c>
      <c r="AC4" s="1">
        <f t="shared" si="4"/>
        <v>13656444.362413576</v>
      </c>
      <c r="AD4">
        <f t="shared" ref="AD4:AD67" si="11">SQRT(((2*AB3/AB3-1))*((Y3*Z3)/AA3))</f>
        <v>211.29921472651296</v>
      </c>
      <c r="AE4" s="1">
        <f t="shared" si="5"/>
        <v>6.6043379208844483E-2</v>
      </c>
      <c r="AF4" s="1">
        <f t="shared" ref="AF4:AF67" si="12">AD4*AE4</f>
        <v>13.954914164714152</v>
      </c>
    </row>
    <row r="5" spans="1:32">
      <c r="A5" s="3" t="s">
        <v>36</v>
      </c>
      <c r="B5" s="2">
        <v>4</v>
      </c>
      <c r="C5" s="2"/>
      <c r="D5" s="2" t="s">
        <v>37</v>
      </c>
      <c r="H5" s="1">
        <f t="shared" ref="H5:H69" si="13">H4+$B$11</f>
        <v>0.30000000000000004</v>
      </c>
      <c r="I5" s="1">
        <f t="shared" ref="I4:I67" si="14">$B$3*$B$4*SQRT(2*$B$7*((J5-$B$9)))</f>
        <v>0.22999565360258592</v>
      </c>
      <c r="J5">
        <f t="shared" si="6"/>
        <v>11777573.449434023</v>
      </c>
      <c r="K5" s="1">
        <f t="shared" si="7"/>
        <v>19.097618153618374</v>
      </c>
      <c r="L5" s="1">
        <f t="shared" ref="L3:L66" si="15">I5/$B$7</f>
        <v>1.916630446688216E-4</v>
      </c>
      <c r="M5" s="1">
        <f t="shared" si="8"/>
        <v>1.1993302407024083E-4</v>
      </c>
      <c r="N5" s="1">
        <f>N4+(L4*$B$11)</f>
        <v>4.5433024070240826E-5</v>
      </c>
      <c r="O5">
        <v>83000</v>
      </c>
      <c r="P5" s="1">
        <f>P4 + (R4 * $B$11)</f>
        <v>0.10192891704169629</v>
      </c>
      <c r="Q5" s="1">
        <f>PI()*(P5^2)</f>
        <v>3.2639589847027722E-2</v>
      </c>
      <c r="R5" s="1">
        <f>$B$18 *((I5/Q5)^$B$19)</f>
        <v>1.430543945653688E-3</v>
      </c>
      <c r="S5" s="1">
        <f t="shared" si="0"/>
        <v>5.7898535878913519E-2</v>
      </c>
      <c r="T5" s="1">
        <f t="shared" si="9"/>
        <v>1.903772248095259E-2</v>
      </c>
      <c r="U5" s="1">
        <f t="shared" si="1"/>
        <v>0.24903337608353851</v>
      </c>
      <c r="V5" s="1">
        <f>$B$21+(PI()*(P5^2)*$E$12)</f>
        <v>3.0145899999999999E-5</v>
      </c>
      <c r="W5" s="1">
        <f t="shared" si="2"/>
        <v>8260.9368465873813</v>
      </c>
      <c r="X5" s="1">
        <f t="shared" si="10"/>
        <v>3.9723915313435358</v>
      </c>
      <c r="Y5">
        <f t="shared" si="3"/>
        <v>356.00513808606291</v>
      </c>
      <c r="Z5">
        <v>2929</v>
      </c>
      <c r="AA5">
        <v>23.355</v>
      </c>
      <c r="AB5">
        <v>1.2706</v>
      </c>
      <c r="AC5" s="1">
        <f t="shared" si="4"/>
        <v>12445638.142519992</v>
      </c>
      <c r="AD5">
        <f t="shared" si="11"/>
        <v>211.29921472651296</v>
      </c>
      <c r="AE5" s="1">
        <f t="shared" si="5"/>
        <v>6.3047671472566111E-2</v>
      </c>
      <c r="AF5" s="1">
        <f t="shared" si="12"/>
        <v>13.321923472488391</v>
      </c>
    </row>
    <row r="6" spans="1:32">
      <c r="A6" s="3" t="s">
        <v>38</v>
      </c>
      <c r="B6" s="2">
        <v>7.6199999999999998E-4</v>
      </c>
      <c r="C6" s="2" t="s">
        <v>39</v>
      </c>
      <c r="D6" s="2" t="s">
        <v>40</v>
      </c>
      <c r="H6" s="1">
        <f t="shared" si="13"/>
        <v>0.4</v>
      </c>
      <c r="I6" s="1">
        <f>$B$3*$B$4*SQRT(2*$B$7*((J6-$B$9)))</f>
        <v>0.21356324164787063</v>
      </c>
      <c r="J6">
        <f t="shared" si="6"/>
        <v>10154757.861559518</v>
      </c>
      <c r="K6" s="1">
        <f t="shared" si="7"/>
        <v>17.73315789561558</v>
      </c>
      <c r="L6" s="1">
        <f t="shared" si="15"/>
        <v>1.779693680398922E-4</v>
      </c>
      <c r="M6" s="1">
        <f t="shared" si="8"/>
        <v>1.3909932853712299E-4</v>
      </c>
      <c r="N6" s="1">
        <f>N5+(L5*$B$11)</f>
        <v>6.4599328537122985E-5</v>
      </c>
      <c r="O6">
        <v>83000</v>
      </c>
      <c r="P6" s="1">
        <f t="shared" ref="P6:P69" si="16">P5 + (R5 * $B$11)</f>
        <v>0.10207197143626166</v>
      </c>
      <c r="Q6" s="1">
        <f t="shared" ref="Q6:Q69" si="17">PI()*(P6^2)</f>
        <v>3.2731271647872456E-2</v>
      </c>
      <c r="R6" s="1">
        <f t="shared" ref="R6:R69" si="18">$B$18 *((I6/Q6)^$B$19)</f>
        <v>1.3451544584041489E-3</v>
      </c>
      <c r="S6" s="1">
        <f t="shared" si="0"/>
        <v>5.4595483823102454E-2</v>
      </c>
      <c r="T6" s="1">
        <f t="shared" si="9"/>
        <v>2.4497270863262838E-2</v>
      </c>
      <c r="U6" s="1">
        <f t="shared" si="1"/>
        <v>0.23806051251113347</v>
      </c>
      <c r="V6" s="1">
        <f t="shared" ref="V3:V66" si="19">$B$21+(PI()*(P6^2)*$E$12)</f>
        <v>3.0145899999999999E-5</v>
      </c>
      <c r="W6" s="1">
        <f t="shared" si="2"/>
        <v>7896.9449414724222</v>
      </c>
      <c r="X6" s="1">
        <f t="shared" si="10"/>
        <v>3.9117382371744798</v>
      </c>
      <c r="Y6">
        <f t="shared" si="3"/>
        <v>356.00513808606291</v>
      </c>
      <c r="Z6">
        <v>2929</v>
      </c>
      <c r="AA6">
        <v>23.355</v>
      </c>
      <c r="AB6">
        <v>1.2706</v>
      </c>
      <c r="AC6" s="1">
        <f t="shared" si="4"/>
        <v>11592475.930069294</v>
      </c>
      <c r="AD6">
        <f t="shared" si="11"/>
        <v>211.29921472651296</v>
      </c>
      <c r="AE6" s="1">
        <f t="shared" si="5"/>
        <v>6.084831664228512E-2</v>
      </c>
      <c r="AF6" s="1">
        <f t="shared" si="12"/>
        <v>12.857201523945056</v>
      </c>
    </row>
    <row r="7" spans="1:32">
      <c r="A7" s="3" t="s">
        <v>41</v>
      </c>
      <c r="B7" s="4">
        <v>1200</v>
      </c>
      <c r="C7" s="4" t="s">
        <v>42</v>
      </c>
      <c r="D7" s="2" t="s">
        <v>43</v>
      </c>
      <c r="H7" s="1">
        <f t="shared" si="13"/>
        <v>0.5</v>
      </c>
      <c r="I7" s="1">
        <f t="shared" si="14"/>
        <v>0.20108640878734882</v>
      </c>
      <c r="J7">
        <f t="shared" si="6"/>
        <v>9002891.1582376026</v>
      </c>
      <c r="K7" s="1">
        <f t="shared" si="7"/>
        <v>16.697147927581625</v>
      </c>
      <c r="L7" s="1">
        <f t="shared" si="15"/>
        <v>1.6757200732279068E-4</v>
      </c>
      <c r="M7" s="1">
        <f t="shared" si="8"/>
        <v>1.5689626534111221E-4</v>
      </c>
      <c r="N7" s="1">
        <f t="shared" ref="N4:N67" si="20">N6+(L6*$B$11)</f>
        <v>8.2396265341112203E-5</v>
      </c>
      <c r="O7">
        <v>83000</v>
      </c>
      <c r="P7" s="1">
        <f t="shared" si="16"/>
        <v>0.10220648688210207</v>
      </c>
      <c r="Q7" s="1">
        <f t="shared" si="17"/>
        <v>3.2817598240570303E-2</v>
      </c>
      <c r="R7" s="1">
        <f t="shared" si="18"/>
        <v>1.279210436608427E-3</v>
      </c>
      <c r="S7" s="1">
        <f t="shared" si="0"/>
        <v>5.2055961575462252E-2</v>
      </c>
      <c r="T7" s="1">
        <f t="shared" si="9"/>
        <v>2.9702867020809064E-2</v>
      </c>
      <c r="U7" s="1">
        <f t="shared" si="1"/>
        <v>0.23078927580815789</v>
      </c>
      <c r="V7" s="1">
        <f t="shared" si="19"/>
        <v>3.0145899999999999E-5</v>
      </c>
      <c r="W7" s="1">
        <f t="shared" si="2"/>
        <v>7655.7434280667649</v>
      </c>
      <c r="X7" s="1">
        <f t="shared" si="10"/>
        <v>3.8628891427900434</v>
      </c>
      <c r="Y7">
        <f t="shared" si="3"/>
        <v>356.00513808606291</v>
      </c>
      <c r="Z7">
        <v>2929</v>
      </c>
      <c r="AA7">
        <v>23.355</v>
      </c>
      <c r="AB7">
        <v>1.2706</v>
      </c>
      <c r="AC7" s="1">
        <f t="shared" si="4"/>
        <v>10943320.341926463</v>
      </c>
      <c r="AD7">
        <f t="shared" si="11"/>
        <v>211.29921472651296</v>
      </c>
      <c r="AE7" s="1">
        <f t="shared" si="5"/>
        <v>5.9120081333217653E-2</v>
      </c>
      <c r="AF7" s="1">
        <f t="shared" si="12"/>
        <v>12.492026760276467</v>
      </c>
    </row>
    <row r="8" spans="1:32">
      <c r="A8" s="3" t="s">
        <v>44</v>
      </c>
      <c r="B8" s="2">
        <v>18960000</v>
      </c>
      <c r="C8" s="2" t="s">
        <v>45</v>
      </c>
      <c r="D8" s="2" t="s">
        <v>46</v>
      </c>
      <c r="H8" s="1">
        <f t="shared" si="13"/>
        <v>0.6</v>
      </c>
      <c r="I8" s="1">
        <f t="shared" si="14"/>
        <v>0.19113811251811649</v>
      </c>
      <c r="J8">
        <f t="shared" si="6"/>
        <v>8134130.76018319</v>
      </c>
      <c r="K8" s="1">
        <f t="shared" si="7"/>
        <v>15.871094215466043</v>
      </c>
      <c r="L8" s="1">
        <f t="shared" si="15"/>
        <v>1.5928176043176375E-4</v>
      </c>
      <c r="M8" s="1">
        <f t="shared" si="8"/>
        <v>1.7365346607339127E-4</v>
      </c>
      <c r="N8" s="1">
        <f>N7+(L7*$B$11)</f>
        <v>9.915346607339127E-5</v>
      </c>
      <c r="O8">
        <v>83000</v>
      </c>
      <c r="P8" s="1">
        <f t="shared" si="16"/>
        <v>0.10233440792576291</v>
      </c>
      <c r="Q8" s="1">
        <f t="shared" si="17"/>
        <v>3.2899798278554791E-2</v>
      </c>
      <c r="R8" s="1">
        <f t="shared" si="18"/>
        <v>1.2258702374371465E-3</v>
      </c>
      <c r="S8" s="1">
        <f t="shared" si="0"/>
        <v>5.001029557393407E-2</v>
      </c>
      <c r="T8" s="1">
        <f t="shared" si="9"/>
        <v>3.470389657820247E-2</v>
      </c>
      <c r="U8" s="1">
        <f t="shared" si="1"/>
        <v>0.22584200909631896</v>
      </c>
      <c r="V8" s="1">
        <f t="shared" si="19"/>
        <v>3.0145899999999999E-5</v>
      </c>
      <c r="W8" s="1">
        <f t="shared" si="2"/>
        <v>7491.6326630261156</v>
      </c>
      <c r="X8" s="1">
        <f t="shared" si="10"/>
        <v>3.8219752617846918</v>
      </c>
      <c r="Y8">
        <f t="shared" si="3"/>
        <v>356.00513808606291</v>
      </c>
      <c r="Z8">
        <v>2929</v>
      </c>
      <c r="AA8">
        <v>23.355</v>
      </c>
      <c r="AB8">
        <v>1.2706</v>
      </c>
      <c r="AC8" s="1">
        <f t="shared" si="4"/>
        <v>10424822.505670149</v>
      </c>
      <c r="AD8">
        <f t="shared" si="11"/>
        <v>211.29921472651296</v>
      </c>
      <c r="AE8" s="1">
        <f t="shared" si="5"/>
        <v>5.770252280661059E-2</v>
      </c>
      <c r="AF8" s="1">
        <f t="shared" si="12"/>
        <v>12.192497756775522</v>
      </c>
    </row>
    <row r="9" spans="1:32">
      <c r="A9" s="3" t="s">
        <v>47</v>
      </c>
      <c r="B9" s="2">
        <v>0</v>
      </c>
      <c r="C9" s="2" t="s">
        <v>45</v>
      </c>
      <c r="D9" s="2" t="s">
        <v>48</v>
      </c>
      <c r="H9" s="1">
        <f t="shared" si="13"/>
        <v>0.7</v>
      </c>
      <c r="I9" s="1">
        <f t="shared" si="14"/>
        <v>0.182932504702874</v>
      </c>
      <c r="J9">
        <f t="shared" si="6"/>
        <v>7450721.4107338889</v>
      </c>
      <c r="K9" s="1">
        <f t="shared" si="7"/>
        <v>15.189744101586824</v>
      </c>
      <c r="L9" s="1">
        <f t="shared" si="15"/>
        <v>1.5244375391906166E-4</v>
      </c>
      <c r="M9" s="1">
        <f t="shared" si="8"/>
        <v>1.8958164211656763E-4</v>
      </c>
      <c r="N9" s="1">
        <f t="shared" si="20"/>
        <v>1.1508164211656765E-4</v>
      </c>
      <c r="O9">
        <v>83000</v>
      </c>
      <c r="P9" s="1">
        <f t="shared" si="16"/>
        <v>0.10245699494950662</v>
      </c>
      <c r="Q9" s="1">
        <f t="shared" si="17"/>
        <v>3.297866723505425E-2</v>
      </c>
      <c r="R9" s="1">
        <f t="shared" si="18"/>
        <v>1.1813197882811404E-3</v>
      </c>
      <c r="S9" s="1">
        <f t="shared" si="0"/>
        <v>4.83083567229265E-2</v>
      </c>
      <c r="T9" s="1">
        <f t="shared" si="9"/>
        <v>3.9534732250495121E-2</v>
      </c>
      <c r="U9" s="1">
        <f t="shared" si="1"/>
        <v>0.22246723695336912</v>
      </c>
      <c r="V9" s="1">
        <f>$B$21+(PI()*(P9^2)*$E$12)</f>
        <v>3.0145899999999999E-5</v>
      </c>
      <c r="W9" s="1">
        <f t="shared" si="2"/>
        <v>7379.684698528461</v>
      </c>
      <c r="X9" s="1">
        <f t="shared" si="10"/>
        <v>3.786767282358348</v>
      </c>
      <c r="Y9">
        <f t="shared" si="3"/>
        <v>356.00513808606291</v>
      </c>
      <c r="Z9">
        <v>2929</v>
      </c>
      <c r="AA9">
        <v>23.355</v>
      </c>
      <c r="AB9">
        <v>1.2706</v>
      </c>
      <c r="AC9" s="1">
        <f t="shared" si="4"/>
        <v>9996520.2154768184</v>
      </c>
      <c r="AD9">
        <f t="shared" si="11"/>
        <v>211.29921472651296</v>
      </c>
      <c r="AE9" s="1">
        <f t="shared" si="5"/>
        <v>5.6504741303946102E-2</v>
      </c>
      <c r="AF9" s="1">
        <f t="shared" si="12"/>
        <v>11.939407465848573</v>
      </c>
    </row>
    <row r="10" spans="1:32">
      <c r="A10" s="3" t="s">
        <v>49</v>
      </c>
      <c r="B10" s="4">
        <v>0.2918</v>
      </c>
      <c r="C10" s="4" t="s">
        <v>50</v>
      </c>
      <c r="D10" s="2" t="s">
        <v>51</v>
      </c>
      <c r="H10" s="1">
        <f t="shared" si="13"/>
        <v>0.79999999999999993</v>
      </c>
      <c r="I10" s="1">
        <f t="shared" si="14"/>
        <v>0.17599343208068705</v>
      </c>
      <c r="J10">
        <f t="shared" si="6"/>
        <v>6896194.2295322074</v>
      </c>
      <c r="K10" s="1">
        <f t="shared" si="7"/>
        <v>14.613560346794056</v>
      </c>
      <c r="L10" s="1">
        <f t="shared" si="15"/>
        <v>1.4666119340057255E-4</v>
      </c>
      <c r="M10" s="1">
        <f t="shared" si="8"/>
        <v>2.048260175084738E-4</v>
      </c>
      <c r="N10" s="1">
        <f t="shared" si="20"/>
        <v>1.3032601750847381E-4</v>
      </c>
      <c r="O10">
        <v>83000</v>
      </c>
      <c r="P10" s="1">
        <f t="shared" si="16"/>
        <v>0.10257512692833473</v>
      </c>
      <c r="Q10" s="1">
        <f t="shared" si="17"/>
        <v>3.3054759280359974E-2</v>
      </c>
      <c r="R10" s="1">
        <f t="shared" si="18"/>
        <v>1.1432237132386897E-3</v>
      </c>
      <c r="S10" s="1">
        <f t="shared" si="0"/>
        <v>4.685834095943317E-2</v>
      </c>
      <c r="T10" s="1">
        <f t="shared" si="9"/>
        <v>4.4220566346438436E-2</v>
      </c>
      <c r="U10" s="1">
        <f t="shared" si="1"/>
        <v>0.22021399842712547</v>
      </c>
      <c r="V10" s="1">
        <f>$B$21+(PI()*(P10^2)*$E$12)</f>
        <v>3.0145899999999999E-5</v>
      </c>
      <c r="W10" s="1">
        <f t="shared" si="2"/>
        <v>7304.9402547983464</v>
      </c>
      <c r="X10" s="1">
        <f t="shared" si="10"/>
        <v>3.7558613573845996</v>
      </c>
      <c r="Y10">
        <f t="shared" si="3"/>
        <v>356.00513808606291</v>
      </c>
      <c r="Z10">
        <v>2929</v>
      </c>
      <c r="AA10">
        <v>23.355</v>
      </c>
      <c r="AB10">
        <v>1.2706</v>
      </c>
      <c r="AC10" s="1">
        <f t="shared" si="4"/>
        <v>9633860.7308174279</v>
      </c>
      <c r="AD10">
        <f t="shared" si="11"/>
        <v>211.29921472651296</v>
      </c>
      <c r="AE10" s="1">
        <f t="shared" si="5"/>
        <v>5.547031709541278E-2</v>
      </c>
      <c r="AF10" s="1">
        <f t="shared" si="12"/>
        <v>11.720834442891388</v>
      </c>
    </row>
    <row r="11" spans="1:32">
      <c r="A11" s="2" t="s">
        <v>52</v>
      </c>
      <c r="B11" s="4">
        <v>0.1</v>
      </c>
      <c r="C11" s="4" t="s">
        <v>53</v>
      </c>
      <c r="D11" s="2" t="s">
        <v>54</v>
      </c>
      <c r="H11" s="1">
        <f t="shared" si="13"/>
        <v>0.89999999999999991</v>
      </c>
      <c r="I11" s="1">
        <f t="shared" si="14"/>
        <v>0.17001198491147443</v>
      </c>
      <c r="J11">
        <f t="shared" si="6"/>
        <v>6435401.3782952204</v>
      </c>
      <c r="K11" s="1">
        <f t="shared" si="7"/>
        <v>14.116892726104815</v>
      </c>
      <c r="L11" s="1">
        <f t="shared" si="15"/>
        <v>1.4167665409289536E-4</v>
      </c>
      <c r="M11" s="1">
        <f t="shared" si="8"/>
        <v>2.1949213684853105E-4</v>
      </c>
      <c r="N11" s="1">
        <f t="shared" si="20"/>
        <v>1.4499213684853105E-4</v>
      </c>
      <c r="O11">
        <v>83000</v>
      </c>
      <c r="P11" s="1">
        <f t="shared" si="16"/>
        <v>0.10268944929965861</v>
      </c>
      <c r="Q11" s="1">
        <f t="shared" si="17"/>
        <v>3.3128480940043593E-2</v>
      </c>
      <c r="R11" s="1">
        <f t="shared" si="18"/>
        <v>1.1100528778535117E-3</v>
      </c>
      <c r="S11" s="1">
        <f t="shared" si="0"/>
        <v>4.5600213351949144E-2</v>
      </c>
      <c r="T11" s="1">
        <f t="shared" si="9"/>
        <v>4.8780587681633347E-2</v>
      </c>
      <c r="U11" s="1">
        <f t="shared" si="1"/>
        <v>0.21879257259310778</v>
      </c>
      <c r="V11" s="1">
        <f t="shared" si="19"/>
        <v>3.0145899999999999E-5</v>
      </c>
      <c r="W11" s="1">
        <f t="shared" si="2"/>
        <v>7257.7887073568145</v>
      </c>
      <c r="X11" s="1">
        <f t="shared" si="10"/>
        <v>3.7283155585105918</v>
      </c>
      <c r="Y11">
        <f t="shared" si="3"/>
        <v>356.00513808606291</v>
      </c>
      <c r="Z11">
        <v>2929</v>
      </c>
      <c r="AA11">
        <v>23.355</v>
      </c>
      <c r="AB11">
        <v>1.2706</v>
      </c>
      <c r="AC11" s="1">
        <f t="shared" si="4"/>
        <v>9320894.6089976206</v>
      </c>
      <c r="AD11">
        <f t="shared" si="11"/>
        <v>211.29921472651296</v>
      </c>
      <c r="AE11" s="1">
        <f t="shared" si="5"/>
        <v>5.4561872371967211E-2</v>
      </c>
      <c r="AF11" s="1">
        <f t="shared" si="12"/>
        <v>11.528880786204894</v>
      </c>
    </row>
    <row r="12" spans="1:32">
      <c r="A12" s="2" t="s">
        <v>55</v>
      </c>
      <c r="B12" s="2">
        <v>7.4499999999999995E-5</v>
      </c>
      <c r="C12" s="2" t="s">
        <v>56</v>
      </c>
      <c r="D12" s="2" t="s">
        <v>57</v>
      </c>
      <c r="H12" s="1">
        <f t="shared" si="13"/>
        <v>0.99999999999999989</v>
      </c>
      <c r="I12" s="1">
        <f t="shared" si="14"/>
        <v>0.16477716203228301</v>
      </c>
      <c r="J12">
        <f t="shared" si="6"/>
        <v>6045198.9873783393</v>
      </c>
      <c r="K12" s="1">
        <f t="shared" si="7"/>
        <v>13.682220823037603</v>
      </c>
      <c r="L12" s="1">
        <f t="shared" si="15"/>
        <v>1.3731430169356917E-4</v>
      </c>
      <c r="M12" s="1">
        <f t="shared" si="8"/>
        <v>2.3365980225782058E-4</v>
      </c>
      <c r="N12" s="1">
        <f t="shared" si="20"/>
        <v>1.5915980225782059E-4</v>
      </c>
      <c r="O12">
        <v>83000</v>
      </c>
      <c r="P12" s="1">
        <f t="shared" si="16"/>
        <v>0.10280045458744395</v>
      </c>
      <c r="Q12" s="1">
        <f t="shared" si="17"/>
        <v>3.3200142132196457E-2</v>
      </c>
      <c r="R12" s="1">
        <f t="shared" si="18"/>
        <v>1.0807541586070218E-3</v>
      </c>
      <c r="S12" s="1">
        <f t="shared" si="0"/>
        <v>4.4492677677887241E-2</v>
      </c>
      <c r="T12" s="1">
        <f t="shared" si="9"/>
        <v>5.3229855449422069E-2</v>
      </c>
      <c r="U12" s="1">
        <f t="shared" si="1"/>
        <v>0.21800701748170509</v>
      </c>
      <c r="V12" s="1">
        <f t="shared" si="19"/>
        <v>3.0145899999999999E-5</v>
      </c>
      <c r="W12" s="1">
        <f t="shared" si="2"/>
        <v>7231.7302678541728</v>
      </c>
      <c r="X12" s="1">
        <f t="shared" si="10"/>
        <v>3.7034669665246263</v>
      </c>
      <c r="Y12">
        <f t="shared" si="3"/>
        <v>356.00513808606291</v>
      </c>
      <c r="Z12">
        <v>2929</v>
      </c>
      <c r="AA12">
        <v>23.355</v>
      </c>
      <c r="AB12">
        <v>1.2706</v>
      </c>
      <c r="AC12" s="1">
        <f t="shared" si="4"/>
        <v>9046715.0582881402</v>
      </c>
      <c r="AD12">
        <f t="shared" si="11"/>
        <v>211.29921472651296</v>
      </c>
      <c r="AE12" s="1">
        <f t="shared" si="5"/>
        <v>5.3753397910085411E-2</v>
      </c>
      <c r="AF12" s="1">
        <f t="shared" si="12"/>
        <v>11.35805076728283</v>
      </c>
    </row>
    <row r="13" spans="1:32">
      <c r="A13" s="2" t="s">
        <v>58</v>
      </c>
      <c r="B13" s="2">
        <v>2.2350000000000001E-4</v>
      </c>
      <c r="C13" s="2" t="s">
        <v>56</v>
      </c>
      <c r="D13" s="2" t="s">
        <v>59</v>
      </c>
      <c r="H13" s="1">
        <f t="shared" si="13"/>
        <v>1.0999999999999999</v>
      </c>
      <c r="I13" s="1">
        <f t="shared" si="14"/>
        <v>0.16013891034590125</v>
      </c>
      <c r="J13">
        <f t="shared" si="6"/>
        <v>5709660.7108572107</v>
      </c>
      <c r="K13" s="1">
        <f t="shared" si="7"/>
        <v>13.297085024950068</v>
      </c>
      <c r="L13" s="1">
        <f t="shared" si="15"/>
        <v>1.334490919549177E-4</v>
      </c>
      <c r="M13" s="1">
        <f t="shared" si="8"/>
        <v>2.4739123242717751E-4</v>
      </c>
      <c r="N13" s="1">
        <f t="shared" si="20"/>
        <v>1.7289123242717749E-4</v>
      </c>
      <c r="O13">
        <v>83000</v>
      </c>
      <c r="P13" s="1">
        <f t="shared" si="16"/>
        <v>0.10290853000330466</v>
      </c>
      <c r="Q13" s="1">
        <f t="shared" si="17"/>
        <v>3.3269986284140546E-2</v>
      </c>
      <c r="R13" s="1">
        <f t="shared" si="18"/>
        <v>1.0545730109509663E-3</v>
      </c>
      <c r="S13" s="1">
        <f t="shared" si="0"/>
        <v>4.3506180716354675E-2</v>
      </c>
      <c r="T13" s="1">
        <f t="shared" si="9"/>
        <v>5.7580473521057537E-2</v>
      </c>
      <c r="U13" s="1">
        <f t="shared" si="1"/>
        <v>0.21771938386695877</v>
      </c>
      <c r="V13" s="1">
        <f t="shared" si="19"/>
        <v>3.0145899999999999E-5</v>
      </c>
      <c r="W13" s="1">
        <f t="shared" si="2"/>
        <v>7222.1888836279159</v>
      </c>
      <c r="X13" s="1">
        <f t="shared" si="10"/>
        <v>3.6808312683191344</v>
      </c>
      <c r="Y13">
        <f t="shared" si="3"/>
        <v>356.00513808606291</v>
      </c>
      <c r="Z13">
        <v>2929</v>
      </c>
      <c r="AA13">
        <v>23.355</v>
      </c>
      <c r="AB13">
        <v>1.2706</v>
      </c>
      <c r="AC13" s="1">
        <f t="shared" si="4"/>
        <v>8803557.7148188353</v>
      </c>
      <c r="AD13">
        <f t="shared" si="11"/>
        <v>211.29921472651296</v>
      </c>
      <c r="AE13" s="1">
        <f t="shared" si="5"/>
        <v>5.3026086326455765E-2</v>
      </c>
      <c r="AF13" s="1">
        <f t="shared" si="12"/>
        <v>11.204370400800389</v>
      </c>
    </row>
    <row r="14" spans="1:32">
      <c r="A14" s="2" t="s">
        <v>60</v>
      </c>
      <c r="B14" s="2">
        <v>2.9799999999999998E-4</v>
      </c>
      <c r="C14" s="2" t="s">
        <v>56</v>
      </c>
      <c r="D14" s="2" t="s">
        <v>61</v>
      </c>
      <c r="H14" s="1">
        <f t="shared" si="13"/>
        <v>1.2</v>
      </c>
      <c r="I14" s="1">
        <f t="shared" si="14"/>
        <v>0.1559869993551832</v>
      </c>
      <c r="J14">
        <f t="shared" si="6"/>
        <v>5417430.7835089583</v>
      </c>
      <c r="K14" s="1">
        <f t="shared" si="7"/>
        <v>12.952332376512835</v>
      </c>
      <c r="L14" s="1">
        <f t="shared" si="15"/>
        <v>1.2998916612931934E-4</v>
      </c>
      <c r="M14" s="1">
        <f t="shared" si="8"/>
        <v>2.6073614162266929E-4</v>
      </c>
      <c r="N14" s="1">
        <f t="shared" si="20"/>
        <v>1.8623614162266926E-4</v>
      </c>
      <c r="O14">
        <v>83000</v>
      </c>
      <c r="P14" s="1">
        <f t="shared" si="16"/>
        <v>0.10301398730439976</v>
      </c>
      <c r="Q14" s="1">
        <f t="shared" si="17"/>
        <v>3.3338209213595656E-2</v>
      </c>
      <c r="R14" s="1">
        <f t="shared" si="18"/>
        <v>1.0309513310027526E-3</v>
      </c>
      <c r="S14" s="1">
        <f t="shared" si="0"/>
        <v>4.2618888240885784E-2</v>
      </c>
      <c r="T14" s="1">
        <f t="shared" si="9"/>
        <v>6.1842362345146118E-2</v>
      </c>
      <c r="U14" s="1">
        <f t="shared" si="1"/>
        <v>0.21782936170032932</v>
      </c>
      <c r="V14" s="1">
        <f t="shared" si="19"/>
        <v>3.0145899999999999E-5</v>
      </c>
      <c r="W14" s="1">
        <f t="shared" si="2"/>
        <v>7225.8370690650909</v>
      </c>
      <c r="X14" s="1">
        <f t="shared" si="10"/>
        <v>3.6600438395654686</v>
      </c>
      <c r="Y14">
        <f t="shared" si="3"/>
        <v>356.00513808606291</v>
      </c>
      <c r="Z14">
        <v>2929</v>
      </c>
      <c r="AA14">
        <v>23.355</v>
      </c>
      <c r="AB14">
        <v>1.2706</v>
      </c>
      <c r="AC14" s="1">
        <f t="shared" si="4"/>
        <v>8585713.433280373</v>
      </c>
      <c r="AD14">
        <f t="shared" si="11"/>
        <v>211.29921472651296</v>
      </c>
      <c r="AE14" s="1">
        <f t="shared" si="5"/>
        <v>5.2365910734722472E-2</v>
      </c>
      <c r="AF14" s="1">
        <f t="shared" si="12"/>
        <v>11.064875816685534</v>
      </c>
    </row>
    <row r="15" spans="1:32">
      <c r="A15" s="2" t="s">
        <v>62</v>
      </c>
      <c r="B15" s="2">
        <v>1412.52</v>
      </c>
      <c r="C15" s="2" t="s">
        <v>63</v>
      </c>
      <c r="D15" s="2" t="s">
        <v>64</v>
      </c>
      <c r="H15" s="1">
        <f t="shared" si="13"/>
        <v>1.3</v>
      </c>
      <c r="I15" s="1">
        <f t="shared" si="14"/>
        <v>0.15223825938304836</v>
      </c>
      <c r="J15">
        <f t="shared" si="6"/>
        <v>5160172.0623752074</v>
      </c>
      <c r="K15" s="1">
        <f t="shared" si="7"/>
        <v>12.641056909243604</v>
      </c>
      <c r="L15" s="1">
        <f t="shared" si="15"/>
        <v>1.268652161525403E-4</v>
      </c>
      <c r="M15" s="1">
        <f t="shared" si="8"/>
        <v>2.7373505823560123E-4</v>
      </c>
      <c r="N15" s="1">
        <f t="shared" si="20"/>
        <v>1.9923505823560121E-4</v>
      </c>
      <c r="O15">
        <v>83000</v>
      </c>
      <c r="P15" s="1">
        <f t="shared" si="16"/>
        <v>0.10311708243750003</v>
      </c>
      <c r="Q15" s="1">
        <f t="shared" si="17"/>
        <v>3.3404971544875789E-2</v>
      </c>
      <c r="R15" s="1">
        <f t="shared" si="18"/>
        <v>1.0094653530381267E-3</v>
      </c>
      <c r="S15" s="1">
        <f t="shared" si="0"/>
        <v>4.1814240128283005E-2</v>
      </c>
      <c r="T15" s="1">
        <f t="shared" si="9"/>
        <v>6.6023786357974415E-2</v>
      </c>
      <c r="U15" s="1">
        <f t="shared" si="1"/>
        <v>0.21826204574102276</v>
      </c>
      <c r="V15" s="1">
        <f t="shared" si="19"/>
        <v>3.0145899999999999E-5</v>
      </c>
      <c r="W15" s="1">
        <f t="shared" si="2"/>
        <v>7240.1900670082086</v>
      </c>
      <c r="X15" s="1">
        <f t="shared" si="10"/>
        <v>3.640823291682274</v>
      </c>
      <c r="Y15">
        <f t="shared" si="3"/>
        <v>356.00513808606291</v>
      </c>
      <c r="Z15">
        <v>2929</v>
      </c>
      <c r="AA15">
        <v>23.355</v>
      </c>
      <c r="AB15">
        <v>1.2706</v>
      </c>
      <c r="AC15" s="1">
        <f t="shared" si="4"/>
        <v>8388870.9039915055</v>
      </c>
      <c r="AD15">
        <f t="shared" si="11"/>
        <v>211.29921472651296</v>
      </c>
      <c r="AE15" s="1">
        <f t="shared" si="5"/>
        <v>5.1762139897977517E-2</v>
      </c>
      <c r="AF15" s="1">
        <f t="shared" si="12"/>
        <v>10.937299513006556</v>
      </c>
    </row>
    <row r="16" spans="1:32">
      <c r="A16" s="2" t="s">
        <v>65</v>
      </c>
      <c r="B16" s="2">
        <v>0.1016</v>
      </c>
      <c r="C16" s="2" t="s">
        <v>39</v>
      </c>
      <c r="D16" s="2" t="s">
        <v>66</v>
      </c>
      <c r="E16" s="2"/>
      <c r="H16" s="1">
        <f t="shared" si="13"/>
        <v>1.4000000000000001</v>
      </c>
      <c r="I16" s="1">
        <f t="shared" si="14"/>
        <v>0.14882851662606247</v>
      </c>
      <c r="J16">
        <f t="shared" si="6"/>
        <v>4931611.6499864431</v>
      </c>
      <c r="K16" s="1">
        <f t="shared" si="7"/>
        <v>12.357929971168936</v>
      </c>
      <c r="L16" s="1">
        <f t="shared" si="15"/>
        <v>1.2402376385505206E-4</v>
      </c>
      <c r="M16" s="1">
        <f t="shared" si="8"/>
        <v>2.8642157985085524E-4</v>
      </c>
      <c r="N16" s="1">
        <f t="shared" si="20"/>
        <v>2.1192157985085524E-4</v>
      </c>
      <c r="O16">
        <v>83000</v>
      </c>
      <c r="P16" s="1">
        <f t="shared" si="16"/>
        <v>0.10321802897280384</v>
      </c>
      <c r="Q16" s="1">
        <f t="shared" si="17"/>
        <v>3.3470407195832504E-2</v>
      </c>
      <c r="R16" s="1">
        <f t="shared" si="18"/>
        <v>9.8978616828253947E-4</v>
      </c>
      <c r="S16" s="1">
        <f t="shared" si="0"/>
        <v>4.1079397150632045E-2</v>
      </c>
      <c r="T16" s="1">
        <f t="shared" si="9"/>
        <v>7.0131726073037623E-2</v>
      </c>
      <c r="U16" s="1">
        <f t="shared" si="1"/>
        <v>0.21896024269910008</v>
      </c>
      <c r="V16" s="1">
        <f t="shared" si="19"/>
        <v>3.0145899999999999E-5</v>
      </c>
      <c r="W16" s="1">
        <f t="shared" si="2"/>
        <v>7263.3506612541041</v>
      </c>
      <c r="X16" s="1">
        <f t="shared" si="10"/>
        <v>3.6229479240002092</v>
      </c>
      <c r="Y16">
        <f t="shared" si="3"/>
        <v>356.00513808606291</v>
      </c>
      <c r="Z16">
        <v>2929</v>
      </c>
      <c r="AA16">
        <v>23.355</v>
      </c>
      <c r="AB16">
        <v>1.2706</v>
      </c>
      <c r="AC16" s="1">
        <f t="shared" si="4"/>
        <v>8209700.8610085603</v>
      </c>
      <c r="AD16">
        <f t="shared" si="11"/>
        <v>211.29921472651296</v>
      </c>
      <c r="AE16" s="1">
        <f t="shared" si="5"/>
        <v>5.1206386877094986E-2</v>
      </c>
      <c r="AF16" s="1">
        <f t="shared" si="12"/>
        <v>10.819869336112189</v>
      </c>
    </row>
    <row r="17" spans="1:32">
      <c r="A17" s="2" t="s">
        <v>67</v>
      </c>
      <c r="B17" s="2">
        <v>0.1016</v>
      </c>
      <c r="C17" s="2" t="s">
        <v>39</v>
      </c>
      <c r="D17" s="2" t="s">
        <v>68</v>
      </c>
      <c r="E17" s="2"/>
      <c r="H17" s="1">
        <f t="shared" si="13"/>
        <v>1.5000000000000002</v>
      </c>
      <c r="I17" s="1">
        <f t="shared" si="14"/>
        <v>0.14570730162384898</v>
      </c>
      <c r="J17">
        <f t="shared" si="6"/>
        <v>4726930.2561630663</v>
      </c>
      <c r="K17" s="1">
        <f t="shared" si="7"/>
        <v>12.098760846214009</v>
      </c>
      <c r="L17" s="1">
        <f t="shared" si="15"/>
        <v>1.2142275135320749E-4</v>
      </c>
      <c r="M17" s="1">
        <f t="shared" si="8"/>
        <v>2.9882395623636042E-4</v>
      </c>
      <c r="N17" s="1">
        <f t="shared" si="20"/>
        <v>2.2432395623636045E-4</v>
      </c>
      <c r="O17">
        <v>83000</v>
      </c>
      <c r="P17" s="1">
        <f t="shared" si="16"/>
        <v>0.1033170075896321</v>
      </c>
      <c r="Q17" s="1">
        <f t="shared" si="17"/>
        <v>3.3534629367787665E-2</v>
      </c>
      <c r="R17" s="1">
        <f t="shared" si="18"/>
        <v>9.7165367699042081E-4</v>
      </c>
      <c r="S17" s="1">
        <f t="shared" si="0"/>
        <v>4.0404216955335075E-2</v>
      </c>
      <c r="T17" s="1">
        <f t="shared" si="9"/>
        <v>7.4172147768571131E-2</v>
      </c>
      <c r="U17" s="1">
        <f t="shared" si="1"/>
        <v>0.2198794493924201</v>
      </c>
      <c r="V17" s="1">
        <f t="shared" si="19"/>
        <v>3.0145899999999999E-5</v>
      </c>
      <c r="W17" s="1">
        <f t="shared" si="2"/>
        <v>7293.8425919418596</v>
      </c>
      <c r="X17" s="1">
        <f t="shared" si="10"/>
        <v>3.6062399572035124</v>
      </c>
      <c r="Y17">
        <f t="shared" si="3"/>
        <v>356.00513808606291</v>
      </c>
      <c r="Z17">
        <v>2929</v>
      </c>
      <c r="AA17">
        <v>23.355</v>
      </c>
      <c r="AB17">
        <v>1.2706</v>
      </c>
      <c r="AC17" s="1">
        <f t="shared" si="4"/>
        <v>8045583.0614818977</v>
      </c>
      <c r="AD17">
        <f t="shared" si="11"/>
        <v>211.29921472651296</v>
      </c>
      <c r="AE17" s="1">
        <f t="shared" si="5"/>
        <v>5.0691976870253931E-2</v>
      </c>
      <c r="AF17" s="1">
        <f t="shared" si="12"/>
        <v>10.711174905619213</v>
      </c>
    </row>
    <row r="18" spans="1:32">
      <c r="A18" s="2" t="s">
        <v>69</v>
      </c>
      <c r="B18" s="2">
        <v>2.9999999999999997E-4</v>
      </c>
      <c r="C18" s="2" t="s">
        <v>70</v>
      </c>
      <c r="D18" s="2" t="s">
        <v>71</v>
      </c>
      <c r="E18" s="2"/>
      <c r="H18" s="1">
        <f t="shared" si="13"/>
        <v>1.6000000000000003</v>
      </c>
      <c r="I18" s="1">
        <f t="shared" si="14"/>
        <v>0.14283426551843098</v>
      </c>
      <c r="J18">
        <f t="shared" si="6"/>
        <v>4542358.1646448644</v>
      </c>
      <c r="K18" s="1">
        <f t="shared" si="7"/>
        <v>11.860199179402517</v>
      </c>
      <c r="L18" s="1">
        <f t="shared" si="15"/>
        <v>1.1902855459869248E-4</v>
      </c>
      <c r="M18" s="1">
        <f t="shared" si="8"/>
        <v>3.1096623137168118E-4</v>
      </c>
      <c r="N18" s="1">
        <f t="shared" si="20"/>
        <v>2.3646623137168121E-4</v>
      </c>
      <c r="O18">
        <v>83000</v>
      </c>
      <c r="P18" s="1">
        <f t="shared" si="16"/>
        <v>0.10341417295733114</v>
      </c>
      <c r="Q18" s="1">
        <f t="shared" si="17"/>
        <v>3.3597734888679676E-2</v>
      </c>
      <c r="R18" s="1">
        <f t="shared" si="18"/>
        <v>9.54858855916538E-4</v>
      </c>
      <c r="S18" s="1">
        <f t="shared" si="0"/>
        <v>3.9780557424517866E-2</v>
      </c>
      <c r="T18" s="1">
        <f t="shared" si="9"/>
        <v>7.815020351102292E-2</v>
      </c>
      <c r="U18" s="1">
        <f t="shared" si="1"/>
        <v>0.2209844690294539</v>
      </c>
      <c r="V18" s="1">
        <f t="shared" si="19"/>
        <v>3.0145899999999999E-5</v>
      </c>
      <c r="W18" s="1">
        <f t="shared" si="2"/>
        <v>7330.4983108632987</v>
      </c>
      <c r="X18" s="1">
        <f t="shared" si="10"/>
        <v>3.5905546519666975</v>
      </c>
      <c r="Y18">
        <f t="shared" si="3"/>
        <v>356.00513808606291</v>
      </c>
      <c r="Z18">
        <v>2929</v>
      </c>
      <c r="AA18">
        <v>23.355</v>
      </c>
      <c r="AB18">
        <v>1.2706</v>
      </c>
      <c r="AC18" s="1">
        <f t="shared" si="4"/>
        <v>7894421.2451858129</v>
      </c>
      <c r="AD18">
        <f t="shared" si="11"/>
        <v>211.29921472651296</v>
      </c>
      <c r="AE18" s="1">
        <f t="shared" si="5"/>
        <v>5.0213514006437962E-2</v>
      </c>
      <c r="AF18" s="1">
        <f t="shared" si="12"/>
        <v>10.610076078219102</v>
      </c>
    </row>
    <row r="19" spans="1:32">
      <c r="A19" s="2" t="s">
        <v>72</v>
      </c>
      <c r="B19" s="2">
        <v>0.8</v>
      </c>
      <c r="C19" s="2" t="s">
        <v>70</v>
      </c>
      <c r="D19" s="2" t="s">
        <v>73</v>
      </c>
      <c r="E19" s="2"/>
      <c r="H19" s="1">
        <f t="shared" si="13"/>
        <v>1.7000000000000004</v>
      </c>
      <c r="I19" s="1">
        <f t="shared" si="14"/>
        <v>0.14017668602045724</v>
      </c>
      <c r="J19">
        <f t="shared" si="6"/>
        <v>4374900.0991753358</v>
      </c>
      <c r="K19" s="1">
        <f t="shared" si="7"/>
        <v>11.639527885531521</v>
      </c>
      <c r="L19" s="1">
        <f t="shared" si="15"/>
        <v>1.1681390501704771E-4</v>
      </c>
      <c r="M19" s="1">
        <f t="shared" si="8"/>
        <v>3.228690868315504E-4</v>
      </c>
      <c r="N19" s="1">
        <f t="shared" si="20"/>
        <v>2.4836908683155043E-4</v>
      </c>
      <c r="O19">
        <v>83000</v>
      </c>
      <c r="P19" s="1">
        <f t="shared" si="16"/>
        <v>0.10350965884292279</v>
      </c>
      <c r="Q19" s="1">
        <f t="shared" si="17"/>
        <v>3.3659807435550103E-2</v>
      </c>
      <c r="R19" s="1">
        <f t="shared" si="18"/>
        <v>9.392313577864848E-4</v>
      </c>
      <c r="S19" s="1">
        <f t="shared" si="0"/>
        <v>3.9201789834248942E-2</v>
      </c>
      <c r="T19" s="1">
        <f t="shared" si="9"/>
        <v>8.2070382494447813E-2</v>
      </c>
      <c r="U19" s="1">
        <f t="shared" si="1"/>
        <v>0.22224706851490506</v>
      </c>
      <c r="V19" s="1">
        <f t="shared" si="19"/>
        <v>3.0145899999999999E-5</v>
      </c>
      <c r="W19" s="1">
        <f t="shared" si="2"/>
        <v>7372.3812695890674</v>
      </c>
      <c r="X19" s="1">
        <f t="shared" si="10"/>
        <v>3.575772601535423</v>
      </c>
      <c r="Y19">
        <f t="shared" si="3"/>
        <v>356.00513808606291</v>
      </c>
      <c r="Z19">
        <v>2929</v>
      </c>
      <c r="AA19">
        <v>23.355</v>
      </c>
      <c r="AB19">
        <v>1.2706</v>
      </c>
      <c r="AC19" s="1">
        <f t="shared" si="4"/>
        <v>7754514.2715980234</v>
      </c>
      <c r="AD19">
        <f t="shared" si="11"/>
        <v>211.29921472651296</v>
      </c>
      <c r="AE19" s="1">
        <f t="shared" si="5"/>
        <v>4.9766576532782041E-2</v>
      </c>
      <c r="AF19" s="1">
        <f t="shared" si="12"/>
        <v>10.515638541003753</v>
      </c>
    </row>
    <row r="20" spans="1:32">
      <c r="A20" s="2" t="s">
        <v>74</v>
      </c>
      <c r="B20" s="2">
        <v>1240</v>
      </c>
      <c r="C20" s="2" t="s">
        <v>42</v>
      </c>
      <c r="D20" s="2" t="s">
        <v>75</v>
      </c>
      <c r="E20" s="2"/>
      <c r="H20" s="1">
        <f t="shared" si="13"/>
        <v>1.8000000000000005</v>
      </c>
      <c r="I20" s="1">
        <f t="shared" si="14"/>
        <v>0.13770769030946817</v>
      </c>
      <c r="J20">
        <f t="shared" si="6"/>
        <v>4222143.1314621884</v>
      </c>
      <c r="K20" s="1">
        <f t="shared" si="7"/>
        <v>11.434515588243219</v>
      </c>
      <c r="L20" s="1">
        <f t="shared" si="15"/>
        <v>1.1475640859122347E-4</v>
      </c>
      <c r="M20" s="1">
        <f t="shared" si="8"/>
        <v>3.345504773332552E-4</v>
      </c>
      <c r="N20" s="1">
        <f t="shared" si="20"/>
        <v>2.6005047733325523E-4</v>
      </c>
      <c r="O20">
        <v>83000</v>
      </c>
      <c r="P20" s="1">
        <f t="shared" si="16"/>
        <v>0.10360358197870144</v>
      </c>
      <c r="Q20" s="1">
        <f t="shared" si="17"/>
        <v>3.3720919973625696E-2</v>
      </c>
      <c r="R20" s="1">
        <f t="shared" si="18"/>
        <v>9.2463063498467331E-4</v>
      </c>
      <c r="S20" s="1">
        <f t="shared" si="0"/>
        <v>3.8662450602876292E-2</v>
      </c>
      <c r="T20" s="1">
        <f t="shared" si="9"/>
        <v>8.593662755473544E-2</v>
      </c>
      <c r="U20" s="1">
        <f t="shared" si="1"/>
        <v>0.22364431786420361</v>
      </c>
      <c r="V20" s="1">
        <f t="shared" si="19"/>
        <v>3.0145899999999999E-5</v>
      </c>
      <c r="W20" s="1">
        <f t="shared" si="2"/>
        <v>7418.7308345149295</v>
      </c>
      <c r="X20" s="1">
        <f t="shared" si="10"/>
        <v>3.561794148124263</v>
      </c>
      <c r="Y20">
        <f t="shared" si="3"/>
        <v>356.00513808606291</v>
      </c>
      <c r="Z20">
        <v>2929</v>
      </c>
      <c r="AA20">
        <v>23.355</v>
      </c>
      <c r="AB20">
        <v>1.2706</v>
      </c>
      <c r="AC20" s="1">
        <f t="shared" si="4"/>
        <v>7624464.2411630098</v>
      </c>
      <c r="AD20">
        <f t="shared" si="11"/>
        <v>211.29921472651296</v>
      </c>
      <c r="AE20" s="1">
        <f t="shared" si="5"/>
        <v>4.9347497373449983E-2</v>
      </c>
      <c r="AF20" s="1">
        <f t="shared" si="12"/>
        <v>10.427087443728642</v>
      </c>
    </row>
    <row r="21" spans="1:32">
      <c r="A21" s="2" t="s">
        <v>76</v>
      </c>
      <c r="B21" s="4">
        <v>3.0145899999999999E-5</v>
      </c>
      <c r="C21" s="2"/>
      <c r="D21" s="2" t="s">
        <v>77</v>
      </c>
      <c r="E21" s="2"/>
      <c r="H21" s="1">
        <f t="shared" si="13"/>
        <v>1.9000000000000006</v>
      </c>
      <c r="I21" s="1">
        <f t="shared" si="14"/>
        <v>0.13540496234379074</v>
      </c>
      <c r="J21">
        <f t="shared" si="6"/>
        <v>4082119.602355253</v>
      </c>
      <c r="K21" s="1">
        <f t="shared" si="7"/>
        <v>11.243309281900778</v>
      </c>
      <c r="L21" s="1">
        <f t="shared" si="15"/>
        <v>1.1283746861982562E-4</v>
      </c>
      <c r="M21" s="1">
        <f t="shared" si="8"/>
        <v>3.4602611819237753E-4</v>
      </c>
      <c r="N21" s="1">
        <f t="shared" si="20"/>
        <v>2.7152611819237756E-4</v>
      </c>
      <c r="O21">
        <v>83000</v>
      </c>
      <c r="P21" s="1">
        <f t="shared" si="16"/>
        <v>0.10369604504219991</v>
      </c>
      <c r="Q21" s="1">
        <f t="shared" si="17"/>
        <v>3.3781136634836707E-2</v>
      </c>
      <c r="R21" s="1">
        <f t="shared" si="18"/>
        <v>9.1093945483089684E-4</v>
      </c>
      <c r="S21" s="1">
        <f t="shared" si="0"/>
        <v>3.8157987035235673E-2</v>
      </c>
      <c r="T21" s="1">
        <f t="shared" si="9"/>
        <v>8.9752426258259008E-2</v>
      </c>
      <c r="U21" s="1">
        <f t="shared" si="1"/>
        <v>0.22515738860204976</v>
      </c>
      <c r="V21" s="1">
        <f t="shared" si="19"/>
        <v>3.0145899999999999E-5</v>
      </c>
      <c r="W21" s="1">
        <f t="shared" si="2"/>
        <v>7468.922427330077</v>
      </c>
      <c r="X21" s="1">
        <f t="shared" si="10"/>
        <v>3.5485352573435205</v>
      </c>
      <c r="Y21">
        <f t="shared" si="3"/>
        <v>356.00513808606291</v>
      </c>
      <c r="Z21">
        <v>2929</v>
      </c>
      <c r="AA21">
        <v>23.355</v>
      </c>
      <c r="AB21">
        <v>1.2706</v>
      </c>
      <c r="AC21" s="1">
        <f t="shared" si="4"/>
        <v>7503109.6209695805</v>
      </c>
      <c r="AD21">
        <f t="shared" si="11"/>
        <v>211.29921472651296</v>
      </c>
      <c r="AE21" s="1">
        <f t="shared" si="5"/>
        <v>4.8953202948244248E-2</v>
      </c>
      <c r="AF21" s="1">
        <f t="shared" si="12"/>
        <v>10.343773341311628</v>
      </c>
    </row>
    <row r="22" spans="1:32">
      <c r="A22" s="2" t="s">
        <v>78</v>
      </c>
      <c r="B22" s="2">
        <v>3.1659999999999998E-5</v>
      </c>
      <c r="C22" s="2" t="s">
        <v>34</v>
      </c>
      <c r="D22" s="2" t="s">
        <v>79</v>
      </c>
      <c r="E22" s="2"/>
      <c r="F22" s="2"/>
      <c r="H22" s="1">
        <f t="shared" si="13"/>
        <v>2.0000000000000004</v>
      </c>
      <c r="I22" s="1">
        <f t="shared" si="14"/>
        <v>0.13324978521484551</v>
      </c>
      <c r="J22">
        <f t="shared" si="6"/>
        <v>3953207.3926509223</v>
      </c>
      <c r="K22" s="1">
        <f t="shared" si="7"/>
        <v>11.064354813773628</v>
      </c>
      <c r="L22" s="1">
        <f t="shared" si="15"/>
        <v>1.1104148767903792E-4</v>
      </c>
      <c r="M22" s="1">
        <f t="shared" si="8"/>
        <v>3.5730986505436011E-4</v>
      </c>
      <c r="N22" s="1">
        <f t="shared" si="20"/>
        <v>2.8280986505436014E-4</v>
      </c>
      <c r="O22">
        <v>83000</v>
      </c>
      <c r="P22" s="1">
        <f t="shared" si="16"/>
        <v>0.10378713898768301</v>
      </c>
      <c r="Q22" s="1">
        <f t="shared" si="17"/>
        <v>3.3840514186948813E-2</v>
      </c>
      <c r="R22" s="1">
        <f t="shared" si="18"/>
        <v>8.9805907584484417E-4</v>
      </c>
      <c r="S22" s="1">
        <f t="shared" si="0"/>
        <v>3.768456831208853E-2</v>
      </c>
      <c r="T22" s="1">
        <f t="shared" si="9"/>
        <v>9.3520883089467863E-2</v>
      </c>
      <c r="U22" s="1">
        <f t="shared" si="1"/>
        <v>0.22677066830431336</v>
      </c>
      <c r="V22" s="1">
        <f t="shared" si="19"/>
        <v>3.0145899999999999E-5</v>
      </c>
      <c r="W22" s="1">
        <f t="shared" si="2"/>
        <v>7522.4381525949921</v>
      </c>
      <c r="X22" s="1">
        <f t="shared" si="10"/>
        <v>3.5359244163638563</v>
      </c>
      <c r="Y22">
        <f t="shared" si="3"/>
        <v>356.00513808606291</v>
      </c>
      <c r="Z22">
        <v>2929</v>
      </c>
      <c r="AA22">
        <v>23.355</v>
      </c>
      <c r="AB22">
        <v>1.2706</v>
      </c>
      <c r="AC22" s="1">
        <f t="shared" si="4"/>
        <v>7389475.6749111693</v>
      </c>
      <c r="AD22">
        <f t="shared" si="11"/>
        <v>211.29921472651296</v>
      </c>
      <c r="AE22" s="1">
        <f t="shared" si="5"/>
        <v>4.8581092666894414E-2</v>
      </c>
      <c r="AF22" s="1">
        <f t="shared" si="12"/>
        <v>10.265146731070747</v>
      </c>
    </row>
    <row r="23" spans="1:32">
      <c r="A23" s="2" t="s">
        <v>80</v>
      </c>
      <c r="B23" s="2">
        <v>6.3499999999999997E-3</v>
      </c>
      <c r="C23" s="2" t="s">
        <v>39</v>
      </c>
      <c r="D23" s="2" t="s">
        <v>81</v>
      </c>
      <c r="E23" s="2"/>
      <c r="F23" s="2"/>
      <c r="H23" s="1">
        <f t="shared" si="13"/>
        <v>2.1000000000000005</v>
      </c>
      <c r="I23" s="1">
        <f t="shared" si="14"/>
        <v>0.13122632008575202</v>
      </c>
      <c r="J23">
        <f t="shared" si="6"/>
        <v>3834056.1080867299</v>
      </c>
      <c r="K23" s="1">
        <f t="shared" si="7"/>
        <v>10.896337010926958</v>
      </c>
      <c r="L23" s="1">
        <f t="shared" si="15"/>
        <v>1.0935526673812669E-4</v>
      </c>
      <c r="M23" s="1">
        <f t="shared" si="8"/>
        <v>3.6841401382226393E-4</v>
      </c>
      <c r="N23" s="1">
        <f t="shared" si="20"/>
        <v>2.9391401382226391E-4</v>
      </c>
      <c r="O23">
        <v>83000</v>
      </c>
      <c r="P23" s="1">
        <f t="shared" si="16"/>
        <v>0.10387694489526748</v>
      </c>
      <c r="Q23" s="1">
        <f t="shared" si="17"/>
        <v>3.3899103198271691E-2</v>
      </c>
      <c r="R23" s="1">
        <f t="shared" si="18"/>
        <v>8.8590560148520906E-4</v>
      </c>
      <c r="S23" s="1">
        <f t="shared" si="0"/>
        <v>3.7238942706755832E-2</v>
      </c>
      <c r="T23" s="1">
        <f t="shared" si="9"/>
        <v>9.7244777360143447E-2</v>
      </c>
      <c r="U23" s="1">
        <f t="shared" si="1"/>
        <v>0.22847109744589547</v>
      </c>
      <c r="V23" s="1">
        <f t="shared" si="19"/>
        <v>3.0145899999999999E-5</v>
      </c>
      <c r="W23" s="1">
        <f t="shared" si="2"/>
        <v>7578.8447996541981</v>
      </c>
      <c r="X23" s="1">
        <f t="shared" si="10"/>
        <v>3.5239002653516569</v>
      </c>
      <c r="Y23">
        <f t="shared" si="3"/>
        <v>356.00513808606291</v>
      </c>
      <c r="Z23">
        <v>2929</v>
      </c>
      <c r="AA23">
        <v>23.355</v>
      </c>
      <c r="AB23">
        <v>1.2706</v>
      </c>
      <c r="AC23" s="1">
        <f t="shared" si="4"/>
        <v>7282737.1197598428</v>
      </c>
      <c r="AD23">
        <f t="shared" si="11"/>
        <v>211.29921472651296</v>
      </c>
      <c r="AE23" s="1">
        <f t="shared" si="5"/>
        <v>4.8228947401907578E-2</v>
      </c>
      <c r="AF23" s="1">
        <f t="shared" si="12"/>
        <v>10.190738713109369</v>
      </c>
    </row>
    <row r="24" spans="1:32">
      <c r="A24" s="2" t="s">
        <v>82</v>
      </c>
      <c r="B24" s="2">
        <f>SQRT(B25*Z2) / (AB2 * ( (2/(AB2+1)) ^ ( (AB2+1)/(2*(AB2-1)) ) ))</f>
        <v>1368.6587572393639</v>
      </c>
      <c r="C24" s="2"/>
      <c r="D24" s="2" t="s">
        <v>83</v>
      </c>
      <c r="E24" s="2"/>
      <c r="F24" s="2"/>
      <c r="H24" s="1">
        <f t="shared" si="13"/>
        <v>2.2000000000000006</v>
      </c>
      <c r="I24" s="1">
        <f t="shared" si="14"/>
        <v>0.12932105530362117</v>
      </c>
      <c r="J24">
        <f t="shared" si="6"/>
        <v>3723531.5960916756</v>
      </c>
      <c r="K24" s="1">
        <f t="shared" si="7"/>
        <v>10.738133937430867</v>
      </c>
      <c r="L24" s="1">
        <f t="shared" si="15"/>
        <v>1.0776754608635098E-4</v>
      </c>
      <c r="M24" s="1">
        <f t="shared" si="8"/>
        <v>3.7934954049607662E-4</v>
      </c>
      <c r="N24" s="1">
        <f t="shared" si="20"/>
        <v>3.048495404960766E-4</v>
      </c>
      <c r="O24">
        <v>83000</v>
      </c>
      <c r="P24" s="1">
        <f t="shared" si="16"/>
        <v>0.10396553545541601</v>
      </c>
      <c r="Q24" s="1">
        <f t="shared" si="17"/>
        <v>3.3956948972330668E-2</v>
      </c>
      <c r="R24" s="1">
        <f t="shared" si="18"/>
        <v>8.7440718400804253E-4</v>
      </c>
      <c r="S24" s="1">
        <f t="shared" si="0"/>
        <v>3.6818328159216561E-2</v>
      </c>
      <c r="T24" s="1">
        <f t="shared" si="9"/>
        <v>0.10092661017606511</v>
      </c>
      <c r="U24" s="1">
        <f t="shared" si="1"/>
        <v>0.23024766547968628</v>
      </c>
      <c r="V24" s="1">
        <f t="shared" si="19"/>
        <v>3.0145899999999999E-5</v>
      </c>
      <c r="W24" s="1">
        <f t="shared" si="2"/>
        <v>7637.7771265640204</v>
      </c>
      <c r="X24" s="1">
        <f t="shared" si="10"/>
        <v>3.5124097635391638</v>
      </c>
      <c r="Y24">
        <f t="shared" si="3"/>
        <v>356.00513808606291</v>
      </c>
      <c r="Z24">
        <v>2929</v>
      </c>
      <c r="AA24">
        <v>23.355</v>
      </c>
      <c r="AB24">
        <v>1.2706</v>
      </c>
      <c r="AC24" s="1">
        <f t="shared" si="4"/>
        <v>7182189.5798724461</v>
      </c>
      <c r="AD24">
        <f t="shared" si="11"/>
        <v>211.29921472651296</v>
      </c>
      <c r="AE24" s="1">
        <f t="shared" si="5"/>
        <v>4.7894858982071353E-2</v>
      </c>
      <c r="AF24" s="1">
        <f t="shared" si="12"/>
        <v>10.120146092348753</v>
      </c>
    </row>
    <row r="25" spans="1:32">
      <c r="A25" s="2" t="s">
        <v>84</v>
      </c>
      <c r="B25" s="2">
        <f>8314.5/AA2</f>
        <v>356.00513808606291</v>
      </c>
      <c r="C25" s="2"/>
      <c r="D25" s="2" t="s">
        <v>85</v>
      </c>
      <c r="E25" s="2"/>
      <c r="F25" s="2"/>
      <c r="H25" s="1">
        <f t="shared" si="13"/>
        <v>2.3000000000000007</v>
      </c>
      <c r="I25" s="1">
        <f t="shared" si="14"/>
        <v>0.12752237996384033</v>
      </c>
      <c r="J25">
        <f t="shared" si="6"/>
        <v>3620673.6580544328</v>
      </c>
      <c r="K25" s="1">
        <f t="shared" si="7"/>
        <v>10.588781485402276</v>
      </c>
      <c r="L25" s="1">
        <f t="shared" si="15"/>
        <v>1.0626864996986694E-4</v>
      </c>
      <c r="M25" s="1">
        <f t="shared" si="8"/>
        <v>3.9012629510471174E-4</v>
      </c>
      <c r="N25" s="1">
        <f t="shared" si="20"/>
        <v>3.1562629510471172E-4</v>
      </c>
      <c r="O25">
        <v>83000</v>
      </c>
      <c r="P25" s="1">
        <f t="shared" si="16"/>
        <v>0.10405297617381681</v>
      </c>
      <c r="Q25" s="1">
        <f t="shared" si="17"/>
        <v>3.4014092306191887E-2</v>
      </c>
      <c r="R25" s="1">
        <f t="shared" si="18"/>
        <v>8.6350185225987273E-4</v>
      </c>
      <c r="S25" s="1">
        <f t="shared" si="0"/>
        <v>3.6420327319575375E-2</v>
      </c>
      <c r="T25" s="1">
        <f t="shared" si="9"/>
        <v>0.10456864290802265</v>
      </c>
      <c r="U25" s="1">
        <f t="shared" si="1"/>
        <v>0.23209102287186298</v>
      </c>
      <c r="V25" s="1">
        <f t="shared" si="19"/>
        <v>3.0145899999999999E-5</v>
      </c>
      <c r="W25" s="1">
        <f t="shared" si="2"/>
        <v>7698.9249905248471</v>
      </c>
      <c r="X25" s="1">
        <f t="shared" si="10"/>
        <v>3.5014067513692821</v>
      </c>
      <c r="Y25">
        <f t="shared" si="3"/>
        <v>356.00513808606291</v>
      </c>
      <c r="Z25">
        <v>2929</v>
      </c>
      <c r="AA25">
        <v>23.355</v>
      </c>
      <c r="AB25">
        <v>1.2706</v>
      </c>
      <c r="AC25" s="1">
        <f t="shared" si="4"/>
        <v>7087227.4797528917</v>
      </c>
      <c r="AD25">
        <f t="shared" si="11"/>
        <v>211.29921472651296</v>
      </c>
      <c r="AE25" s="1">
        <f t="shared" si="5"/>
        <v>4.7577175182759786E-2</v>
      </c>
      <c r="AF25" s="1">
        <f t="shared" si="12"/>
        <v>10.053019755022884</v>
      </c>
    </row>
    <row r="26" spans="1:32">
      <c r="A26" s="2" t="s">
        <v>86</v>
      </c>
      <c r="B26" s="2">
        <v>0.2</v>
      </c>
      <c r="C26" s="2" t="s">
        <v>31</v>
      </c>
      <c r="D26" s="2" t="s">
        <v>87</v>
      </c>
      <c r="E26" s="2"/>
      <c r="F26" s="2"/>
      <c r="H26" s="1">
        <f t="shared" si="13"/>
        <v>2.4000000000000008</v>
      </c>
      <c r="I26" s="1">
        <f t="shared" si="14"/>
        <v>0.12582024986227391</v>
      </c>
      <c r="J26">
        <f t="shared" si="6"/>
        <v>3524663.4103684849</v>
      </c>
      <c r="K26" s="1">
        <f t="shared" si="7"/>
        <v>10.447445637448975</v>
      </c>
      <c r="L26" s="1">
        <f t="shared" si="15"/>
        <v>1.048502082185616E-4</v>
      </c>
      <c r="M26" s="1">
        <f t="shared" si="8"/>
        <v>4.0075316010169845E-4</v>
      </c>
      <c r="N26" s="1">
        <f t="shared" si="20"/>
        <v>3.2625316010169843E-4</v>
      </c>
      <c r="O26">
        <v>83000</v>
      </c>
      <c r="P26" s="1">
        <f t="shared" si="16"/>
        <v>0.1041393263590428</v>
      </c>
      <c r="Q26" s="1">
        <f t="shared" si="17"/>
        <v>3.4070570111835521E-2</v>
      </c>
      <c r="R26" s="1">
        <f t="shared" si="18"/>
        <v>8.5313580423981383E-4</v>
      </c>
      <c r="S26" s="1">
        <f t="shared" si="0"/>
        <v>3.6042860809254507E-2</v>
      </c>
      <c r="T26" s="1">
        <f t="shared" si="9"/>
        <v>0.10817292898894809</v>
      </c>
      <c r="U26" s="1">
        <f t="shared" si="1"/>
        <v>0.23399317885122201</v>
      </c>
      <c r="V26" s="1">
        <f t="shared" si="19"/>
        <v>3.0145899999999999E-5</v>
      </c>
      <c r="W26" s="1">
        <f t="shared" si="2"/>
        <v>7762.0233216199222</v>
      </c>
      <c r="X26" s="1">
        <f t="shared" si="10"/>
        <v>3.4908508103210223</v>
      </c>
      <c r="Y26">
        <f t="shared" si="3"/>
        <v>356.00513808606291</v>
      </c>
      <c r="Z26">
        <v>2929</v>
      </c>
      <c r="AA26">
        <v>23.355</v>
      </c>
      <c r="AB26">
        <v>1.2706</v>
      </c>
      <c r="AC26" s="1">
        <f t="shared" si="4"/>
        <v>6997326.7180856513</v>
      </c>
      <c r="AD26">
        <f t="shared" si="11"/>
        <v>211.29921472651296</v>
      </c>
      <c r="AE26" s="1">
        <f t="shared" si="5"/>
        <v>4.7274456308869756E-2</v>
      </c>
      <c r="AF26" s="1">
        <f t="shared" si="12"/>
        <v>9.989055494687026</v>
      </c>
    </row>
    <row r="27" spans="1:32">
      <c r="A27" s="2" t="s">
        <v>88</v>
      </c>
      <c r="B27" s="2">
        <f>B8/(B25*Z2)</f>
        <v>18.182880951784082</v>
      </c>
      <c r="C27" s="2"/>
      <c r="D27" s="2" t="s">
        <v>89</v>
      </c>
      <c r="E27" s="2"/>
      <c r="F27" s="2"/>
      <c r="H27" s="1">
        <f t="shared" si="13"/>
        <v>2.5000000000000009</v>
      </c>
      <c r="I27" s="1">
        <f t="shared" si="14"/>
        <v>0.12420592297091659</v>
      </c>
      <c r="J27">
        <f t="shared" si="6"/>
        <v>3434797.8021587799</v>
      </c>
      <c r="K27" s="1">
        <f t="shared" si="7"/>
        <v>10.313400501972062</v>
      </c>
      <c r="L27" s="1">
        <f t="shared" si="15"/>
        <v>1.0350493580909716E-4</v>
      </c>
      <c r="M27" s="1">
        <f t="shared" si="8"/>
        <v>4.1123818092355459E-4</v>
      </c>
      <c r="N27" s="1">
        <f t="shared" si="20"/>
        <v>3.3673818092355457E-4</v>
      </c>
      <c r="O27">
        <v>83000</v>
      </c>
      <c r="P27" s="1">
        <f t="shared" si="16"/>
        <v>0.10422463993946678</v>
      </c>
      <c r="Q27" s="1">
        <f t="shared" si="17"/>
        <v>3.4126415929913584E-2</v>
      </c>
      <c r="R27" s="1">
        <f t="shared" si="18"/>
        <v>8.4326205055772728E-4</v>
      </c>
      <c r="S27" s="1">
        <f t="shared" si="0"/>
        <v>3.5684114229303579E-2</v>
      </c>
      <c r="T27" s="1">
        <f t="shared" si="9"/>
        <v>0.11174134041187844</v>
      </c>
      <c r="U27" s="1">
        <f t="shared" si="1"/>
        <v>0.23594726338279504</v>
      </c>
      <c r="V27" s="1">
        <f t="shared" si="19"/>
        <v>3.0145899999999999E-5</v>
      </c>
      <c r="W27" s="1">
        <f t="shared" si="2"/>
        <v>7826.8442270025125</v>
      </c>
      <c r="X27" s="1">
        <f t="shared" si="10"/>
        <v>3.4807063494074191</v>
      </c>
      <c r="Y27">
        <f t="shared" si="3"/>
        <v>356.00513808606291</v>
      </c>
      <c r="Z27">
        <v>2929</v>
      </c>
      <c r="AA27">
        <v>23.355</v>
      </c>
      <c r="AB27">
        <v>1.2706</v>
      </c>
      <c r="AC27" s="1">
        <f t="shared" si="4"/>
        <v>6912030.9415479777</v>
      </c>
      <c r="AD27">
        <f t="shared" si="11"/>
        <v>211.29921472651296</v>
      </c>
      <c r="AE27" s="1">
        <f t="shared" si="5"/>
        <v>4.698544056553388E-2</v>
      </c>
      <c r="AF27" s="1">
        <f t="shared" si="12"/>
        <v>9.9279866950765552</v>
      </c>
    </row>
    <row r="28" spans="1:32">
      <c r="H28" s="1">
        <f t="shared" si="13"/>
        <v>2.600000000000001</v>
      </c>
      <c r="I28" s="1">
        <f t="shared" si="14"/>
        <v>0.12267174788351115</v>
      </c>
      <c r="J28">
        <f t="shared" si="6"/>
        <v>3350469.5107388194</v>
      </c>
      <c r="K28" s="1">
        <f t="shared" si="7"/>
        <v>10.186010746813082</v>
      </c>
      <c r="L28" s="1">
        <f t="shared" si="15"/>
        <v>1.0222645656959263E-4</v>
      </c>
      <c r="M28" s="1">
        <f t="shared" si="8"/>
        <v>4.215886745044643E-4</v>
      </c>
      <c r="N28" s="1">
        <f t="shared" si="20"/>
        <v>3.4708867450446428E-4</v>
      </c>
      <c r="O28">
        <v>83000</v>
      </c>
      <c r="P28" s="1">
        <f t="shared" si="16"/>
        <v>0.10430896614452255</v>
      </c>
      <c r="Q28" s="1">
        <f t="shared" si="17"/>
        <v>3.4181660358035132E-2</v>
      </c>
      <c r="R28" s="1">
        <f t="shared" si="18"/>
        <v>8.3383932608545796E-4</v>
      </c>
      <c r="S28" s="1">
        <f t="shared" si="0"/>
        <v>3.5342495670408272E-2</v>
      </c>
      <c r="T28" s="1">
        <f t="shared" si="9"/>
        <v>0.11527558997891926</v>
      </c>
      <c r="U28" s="1">
        <f t="shared" si="1"/>
        <v>0.23794733786243041</v>
      </c>
      <c r="V28" s="1">
        <f t="shared" si="19"/>
        <v>3.0145899999999999E-5</v>
      </c>
      <c r="W28" s="1">
        <f t="shared" si="2"/>
        <v>7893.1907112552763</v>
      </c>
      <c r="X28" s="1">
        <f t="shared" si="10"/>
        <v>3.4709418663442695</v>
      </c>
      <c r="Y28">
        <f t="shared" si="3"/>
        <v>356.00513808606291</v>
      </c>
      <c r="Z28">
        <v>2929</v>
      </c>
      <c r="AA28">
        <v>23.355</v>
      </c>
      <c r="AB28">
        <v>1.2706</v>
      </c>
      <c r="AC28" s="1">
        <f t="shared" si="4"/>
        <v>6830940.562496068</v>
      </c>
      <c r="AD28">
        <f t="shared" si="11"/>
        <v>211.29921472651296</v>
      </c>
      <c r="AE28" s="1">
        <f t="shared" si="5"/>
        <v>4.6709016171395647E-2</v>
      </c>
      <c r="AF28" s="1">
        <f t="shared" si="12"/>
        <v>9.8695784376638951</v>
      </c>
    </row>
    <row r="29" spans="1:32">
      <c r="H29" s="1">
        <f t="shared" si="13"/>
        <v>2.7000000000000011</v>
      </c>
      <c r="I29" s="1">
        <f t="shared" si="14"/>
        <v>0.12121099307958171</v>
      </c>
      <c r="J29">
        <f t="shared" si="6"/>
        <v>3271150.9264554693</v>
      </c>
      <c r="K29" s="1">
        <f t="shared" si="7"/>
        <v>10.064717422245689</v>
      </c>
      <c r="L29" s="1">
        <f t="shared" si="15"/>
        <v>1.0100916089965143E-4</v>
      </c>
      <c r="M29" s="1">
        <f t="shared" si="8"/>
        <v>4.3181132016142357E-4</v>
      </c>
      <c r="N29" s="1">
        <f t="shared" si="20"/>
        <v>3.5731132016142354E-4</v>
      </c>
      <c r="O29">
        <v>83000</v>
      </c>
      <c r="P29" s="1">
        <f t="shared" si="16"/>
        <v>0.1043923500771311</v>
      </c>
      <c r="Q29" s="1">
        <f t="shared" si="17"/>
        <v>3.4236331410498429E-2</v>
      </c>
      <c r="R29" s="1">
        <f t="shared" si="18"/>
        <v>8.2483120890585707E-4</v>
      </c>
      <c r="S29" s="1">
        <f t="shared" si="0"/>
        <v>3.5016601336020498E-2</v>
      </c>
      <c r="T29" s="1">
        <f t="shared" si="9"/>
        <v>0.11877725011252131</v>
      </c>
      <c r="U29" s="1">
        <f t="shared" si="1"/>
        <v>0.23998824319210302</v>
      </c>
      <c r="V29" s="1">
        <f t="shared" si="19"/>
        <v>3.0145899999999999E-5</v>
      </c>
      <c r="W29" s="1">
        <f t="shared" si="2"/>
        <v>7960.8916367434058</v>
      </c>
      <c r="X29" s="1">
        <f t="shared" si="10"/>
        <v>3.4615293447938278</v>
      </c>
      <c r="Y29">
        <f t="shared" si="3"/>
        <v>356.00513808606291</v>
      </c>
      <c r="Z29">
        <v>2929</v>
      </c>
      <c r="AA29">
        <v>23.355</v>
      </c>
      <c r="AB29">
        <v>1.2706</v>
      </c>
      <c r="AC29" s="1">
        <f t="shared" si="4"/>
        <v>6753703.8919568378</v>
      </c>
      <c r="AD29">
        <f t="shared" si="11"/>
        <v>211.29921472651296</v>
      </c>
      <c r="AE29" s="1">
        <f t="shared" si="5"/>
        <v>4.6444198702785718E-2</v>
      </c>
      <c r="AF29" s="1">
        <f t="shared" si="12"/>
        <v>9.8136227145007542</v>
      </c>
    </row>
    <row r="30" spans="1:32">
      <c r="H30" s="1">
        <f t="shared" si="13"/>
        <v>2.8000000000000012</v>
      </c>
      <c r="I30" s="1">
        <f t="shared" si="14"/>
        <v>0.11981770797273239</v>
      </c>
      <c r="J30">
        <f t="shared" si="6"/>
        <v>3196381.2814553198</v>
      </c>
      <c r="K30" s="1">
        <f t="shared" si="7"/>
        <v>9.9490264231639891</v>
      </c>
      <c r="L30" s="1">
        <f t="shared" si="15"/>
        <v>9.9848089977276996E-5</v>
      </c>
      <c r="M30" s="1">
        <f t="shared" si="8"/>
        <v>4.4191223625138871E-4</v>
      </c>
      <c r="N30" s="1">
        <f t="shared" si="20"/>
        <v>3.6741223625138869E-4</v>
      </c>
      <c r="O30">
        <v>83000</v>
      </c>
      <c r="P30" s="1">
        <f t="shared" si="16"/>
        <v>0.10447483319802169</v>
      </c>
      <c r="Q30" s="1">
        <f t="shared" si="17"/>
        <v>3.4290454822544184E-2</v>
      </c>
      <c r="R30" s="1">
        <f t="shared" si="18"/>
        <v>8.1620540115374105E-4</v>
      </c>
      <c r="S30" s="1">
        <f t="shared" si="0"/>
        <v>3.4705187498381848E-2</v>
      </c>
      <c r="T30" s="1">
        <f t="shared" si="9"/>
        <v>0.1222477688623595</v>
      </c>
      <c r="U30" s="1">
        <f t="shared" si="1"/>
        <v>0.24206547683509189</v>
      </c>
      <c r="V30" s="1">
        <f t="shared" si="19"/>
        <v>3.0145899999999999E-5</v>
      </c>
      <c r="W30" s="1">
        <f t="shared" si="2"/>
        <v>8029.7976452881448</v>
      </c>
      <c r="X30" s="1">
        <f t="shared" si="10"/>
        <v>3.4524437586835965</v>
      </c>
      <c r="Y30">
        <f t="shared" si="3"/>
        <v>356.00513808606291</v>
      </c>
      <c r="Z30">
        <v>2929</v>
      </c>
      <c r="AA30">
        <v>23.355</v>
      </c>
      <c r="AB30">
        <v>1.2706</v>
      </c>
      <c r="AC30" s="1">
        <f t="shared" si="4"/>
        <v>6680009.9204208264</v>
      </c>
      <c r="AD30">
        <f t="shared" si="11"/>
        <v>211.29921472651296</v>
      </c>
      <c r="AE30" s="1">
        <f t="shared" si="5"/>
        <v>4.6190112537529984E-2</v>
      </c>
      <c r="AF30" s="1">
        <f t="shared" si="12"/>
        <v>9.759934507309346</v>
      </c>
    </row>
    <row r="31" spans="1:32">
      <c r="H31" s="1">
        <f t="shared" si="13"/>
        <v>2.9000000000000012</v>
      </c>
      <c r="I31" s="1">
        <f t="shared" si="14"/>
        <v>0.11848660894778874</v>
      </c>
      <c r="J31">
        <f t="shared" si="6"/>
        <v>3125756.2200286631</v>
      </c>
      <c r="K31" s="1">
        <f t="shared" si="7"/>
        <v>9.8384990262117284</v>
      </c>
      <c r="L31" s="1">
        <f t="shared" si="15"/>
        <v>9.8738840789823956E-5</v>
      </c>
      <c r="M31" s="1">
        <f t="shared" si="8"/>
        <v>4.518970452491164E-4</v>
      </c>
      <c r="N31" s="1">
        <f t="shared" si="20"/>
        <v>3.7739704524911638E-4</v>
      </c>
      <c r="O31">
        <v>83000</v>
      </c>
      <c r="P31" s="1">
        <f t="shared" si="16"/>
        <v>0.10455645373813706</v>
      </c>
      <c r="Q31" s="1">
        <f t="shared" si="17"/>
        <v>3.4344054309337652E-2</v>
      </c>
      <c r="R31" s="1">
        <f t="shared" si="18"/>
        <v>8.0793313749806203E-4</v>
      </c>
      <c r="S31" s="1">
        <f t="shared" si="0"/>
        <v>3.4407147445158284E-2</v>
      </c>
      <c r="T31" s="1">
        <f t="shared" si="9"/>
        <v>0.12568848360687532</v>
      </c>
      <c r="U31" s="1">
        <f t="shared" si="1"/>
        <v>0.24417509255466407</v>
      </c>
      <c r="V31" s="1">
        <f t="shared" si="19"/>
        <v>3.0145899999999999E-5</v>
      </c>
      <c r="W31" s="1">
        <f t="shared" si="2"/>
        <v>8099.7778322977283</v>
      </c>
      <c r="X31" s="1">
        <f t="shared" si="10"/>
        <v>3.4436626615631276</v>
      </c>
      <c r="Y31">
        <f t="shared" si="3"/>
        <v>356.00513808606291</v>
      </c>
      <c r="Z31">
        <v>2929</v>
      </c>
      <c r="AA31">
        <v>23.355</v>
      </c>
      <c r="AB31">
        <v>1.2706</v>
      </c>
      <c r="AC31" s="1">
        <f t="shared" si="4"/>
        <v>6609582.3946439968</v>
      </c>
      <c r="AD31">
        <f t="shared" si="11"/>
        <v>211.29921472651296</v>
      </c>
      <c r="AE31" s="1">
        <f t="shared" si="5"/>
        <v>4.59459755420542E-2</v>
      </c>
      <c r="AF31" s="1">
        <f t="shared" si="12"/>
        <v>9.7083485518796238</v>
      </c>
    </row>
    <row r="32" spans="1:32">
      <c r="H32" s="1">
        <f t="shared" si="13"/>
        <v>3.0000000000000013</v>
      </c>
      <c r="I32" s="1">
        <f t="shared" si="14"/>
        <v>0.11721298521987182</v>
      </c>
      <c r="J32">
        <f t="shared" si="6"/>
        <v>3058919.2828905261</v>
      </c>
      <c r="K32" s="1">
        <f t="shared" si="7"/>
        <v>9.7327440728195498</v>
      </c>
      <c r="L32" s="1">
        <f t="shared" si="15"/>
        <v>9.7677487683226518E-5</v>
      </c>
      <c r="M32" s="1">
        <f t="shared" si="8"/>
        <v>4.6177092932809882E-4</v>
      </c>
      <c r="N32" s="1">
        <f t="shared" si="20"/>
        <v>3.8727092932809879E-4</v>
      </c>
      <c r="O32">
        <v>83000</v>
      </c>
      <c r="P32" s="1">
        <f t="shared" si="16"/>
        <v>0.10463724705188686</v>
      </c>
      <c r="Q32" s="1">
        <f t="shared" si="17"/>
        <v>3.4397151787725906E-2</v>
      </c>
      <c r="R32" s="1">
        <f t="shared" si="18"/>
        <v>7.9998869515138032E-4</v>
      </c>
      <c r="S32" s="1">
        <f t="shared" si="0"/>
        <v>3.4121492393727651E-2</v>
      </c>
      <c r="T32" s="1">
        <f t="shared" si="9"/>
        <v>0.12910063284624809</v>
      </c>
      <c r="U32" s="1">
        <f t="shared" si="1"/>
        <v>0.2463136180661199</v>
      </c>
      <c r="V32" s="1">
        <f t="shared" si="19"/>
        <v>3.0145899999999999E-5</v>
      </c>
      <c r="W32" s="1">
        <f t="shared" si="2"/>
        <v>8170.7170151204609</v>
      </c>
      <c r="X32" s="1">
        <f t="shared" si="10"/>
        <v>3.4351658440771593</v>
      </c>
      <c r="Y32">
        <f t="shared" si="3"/>
        <v>356.00513808606291</v>
      </c>
      <c r="Z32">
        <v>2929</v>
      </c>
      <c r="AA32">
        <v>23.355</v>
      </c>
      <c r="AB32">
        <v>1.2706</v>
      </c>
      <c r="AC32" s="1">
        <f t="shared" si="4"/>
        <v>6542174.9228710486</v>
      </c>
      <c r="AD32">
        <f t="shared" si="11"/>
        <v>211.29921472651296</v>
      </c>
      <c r="AE32" s="1">
        <f t="shared" si="5"/>
        <v>4.5711086346686719E-2</v>
      </c>
      <c r="AF32" s="1">
        <f t="shared" si="12"/>
        <v>9.6587166493507315</v>
      </c>
    </row>
    <row r="33" spans="8:32">
      <c r="H33" s="1">
        <f t="shared" si="13"/>
        <v>3.1000000000000014</v>
      </c>
      <c r="I33" s="1">
        <f t="shared" si="14"/>
        <v>0.11599262054728553</v>
      </c>
      <c r="J33">
        <f t="shared" si="6"/>
        <v>2995554.9048537733</v>
      </c>
      <c r="K33" s="1">
        <f t="shared" si="7"/>
        <v>9.6314114686587367</v>
      </c>
      <c r="L33" s="1">
        <f t="shared" si="15"/>
        <v>9.6660517122737941E-5</v>
      </c>
      <c r="M33" s="1">
        <f t="shared" si="8"/>
        <v>4.7153867809642149E-4</v>
      </c>
      <c r="N33" s="1">
        <f t="shared" si="20"/>
        <v>3.9703867809642146E-4</v>
      </c>
      <c r="O33">
        <v>83000</v>
      </c>
      <c r="P33" s="1">
        <f t="shared" si="16"/>
        <v>0.104717245921402</v>
      </c>
      <c r="Q33" s="1">
        <f t="shared" si="17"/>
        <v>3.4449767567168291E-2</v>
      </c>
      <c r="R33" s="1">
        <f t="shared" si="18"/>
        <v>7.9234898529832634E-4</v>
      </c>
      <c r="S33" s="1">
        <f t="shared" si="0"/>
        <v>3.3847335585755145E-2</v>
      </c>
      <c r="T33" s="1">
        <f t="shared" si="9"/>
        <v>0.13248536640482361</v>
      </c>
      <c r="U33" s="1">
        <f t="shared" si="1"/>
        <v>0.24847798695210915</v>
      </c>
      <c r="V33" s="1">
        <f t="shared" si="19"/>
        <v>3.0145899999999999E-5</v>
      </c>
      <c r="W33" s="1">
        <f t="shared" si="2"/>
        <v>8242.5134745391297</v>
      </c>
      <c r="X33" s="1">
        <f t="shared" si="10"/>
        <v>3.426935046435434</v>
      </c>
      <c r="Y33">
        <f t="shared" si="3"/>
        <v>356.00513808606291</v>
      </c>
      <c r="Z33">
        <v>2929</v>
      </c>
      <c r="AA33">
        <v>23.355</v>
      </c>
      <c r="AB33">
        <v>1.2706</v>
      </c>
      <c r="AC33" s="1">
        <f t="shared" si="4"/>
        <v>6477566.9029010832</v>
      </c>
      <c r="AD33">
        <f t="shared" si="11"/>
        <v>211.29921472651296</v>
      </c>
      <c r="AE33" s="1">
        <f t="shared" si="5"/>
        <v>4.5484813703083223E-2</v>
      </c>
      <c r="AF33" s="1">
        <f t="shared" si="12"/>
        <v>9.6109054174432202</v>
      </c>
    </row>
    <row r="34" spans="8:32">
      <c r="H34" s="1">
        <f t="shared" si="13"/>
        <v>3.2000000000000015</v>
      </c>
      <c r="I34" s="1">
        <f t="shared" si="14"/>
        <v>0.11482172772233054</v>
      </c>
      <c r="J34">
        <f t="shared" si="6"/>
        <v>2935382.6188731613</v>
      </c>
      <c r="K34" s="1">
        <f t="shared" si="7"/>
        <v>9.5341867441061563</v>
      </c>
      <c r="L34" s="1">
        <f t="shared" si="15"/>
        <v>9.5684773101942111E-5</v>
      </c>
      <c r="M34" s="1">
        <f t="shared" si="8"/>
        <v>4.812047298086953E-4</v>
      </c>
      <c r="N34" s="1">
        <f t="shared" si="20"/>
        <v>4.0670472980869528E-4</v>
      </c>
      <c r="O34">
        <v>83000</v>
      </c>
      <c r="P34" s="1">
        <f t="shared" si="16"/>
        <v>0.10479648081993183</v>
      </c>
      <c r="Q34" s="1">
        <f t="shared" si="17"/>
        <v>3.4501920514970148E-2</v>
      </c>
      <c r="R34" s="1">
        <f t="shared" si="18"/>
        <v>7.8499321031605049E-4</v>
      </c>
      <c r="S34" s="1">
        <f t="shared" si="0"/>
        <v>3.358387895042337E-2</v>
      </c>
      <c r="T34" s="1">
        <f t="shared" si="9"/>
        <v>0.13584375429986595</v>
      </c>
      <c r="U34" s="1">
        <f t="shared" si="1"/>
        <v>0.25066548202219652</v>
      </c>
      <c r="V34" s="1">
        <f t="shared" si="19"/>
        <v>3.0145899999999999E-5</v>
      </c>
      <c r="W34" s="1">
        <f t="shared" si="2"/>
        <v>8315.0770758941198</v>
      </c>
      <c r="X34" s="1">
        <f t="shared" si="10"/>
        <v>3.4189537156154817</v>
      </c>
      <c r="Y34">
        <f t="shared" si="3"/>
        <v>356.00513808606291</v>
      </c>
      <c r="Z34">
        <v>2929</v>
      </c>
      <c r="AA34">
        <v>23.355</v>
      </c>
      <c r="AB34">
        <v>1.2706</v>
      </c>
      <c r="AC34" s="1">
        <f t="shared" si="4"/>
        <v>6415560.1135844989</v>
      </c>
      <c r="AD34">
        <f t="shared" si="11"/>
        <v>211.29921472651296</v>
      </c>
      <c r="AE34" s="1">
        <f t="shared" si="5"/>
        <v>4.5266587529252118E-2</v>
      </c>
      <c r="AF34" s="1">
        <f t="shared" si="12"/>
        <v>9.5647943982799362</v>
      </c>
    </row>
    <row r="35" spans="8:32">
      <c r="H35" s="1">
        <f t="shared" si="13"/>
        <v>3.3000000000000016</v>
      </c>
      <c r="I35" s="1">
        <f t="shared" si="14"/>
        <v>0.1136968934350672</v>
      </c>
      <c r="J35">
        <f t="shared" si="6"/>
        <v>2878152.2289944766</v>
      </c>
      <c r="K35" s="1">
        <f t="shared" si="7"/>
        <v>9.440786476023824</v>
      </c>
      <c r="L35" s="1">
        <f t="shared" si="15"/>
        <v>9.4747411195889329E-5</v>
      </c>
      <c r="M35" s="1">
        <f t="shared" si="8"/>
        <v>4.9077320711888954E-4</v>
      </c>
      <c r="N35" s="1">
        <f t="shared" si="20"/>
        <v>4.1627320711888947E-4</v>
      </c>
      <c r="O35">
        <v>83000</v>
      </c>
      <c r="P35" s="1">
        <f t="shared" si="16"/>
        <v>0.10487498014096343</v>
      </c>
      <c r="Q35" s="1">
        <f t="shared" si="17"/>
        <v>3.4553628199963722E-2</v>
      </c>
      <c r="R35" s="1">
        <f t="shared" si="18"/>
        <v>7.7790257453773869E-4</v>
      </c>
      <c r="S35" s="1">
        <f t="shared" si="0"/>
        <v>3.3330401857100768E-2</v>
      </c>
      <c r="T35" s="1">
        <f t="shared" si="9"/>
        <v>0.13917679448557602</v>
      </c>
      <c r="U35" s="1">
        <f t="shared" si="1"/>
        <v>0.25287368792064324</v>
      </c>
      <c r="V35" s="1">
        <f t="shared" si="19"/>
        <v>3.0145899999999999E-5</v>
      </c>
      <c r="W35" s="1">
        <f t="shared" si="2"/>
        <v>8388.3276969884209</v>
      </c>
      <c r="X35" s="1">
        <f t="shared" si="10"/>
        <v>3.4112067992017026</v>
      </c>
      <c r="Y35">
        <f t="shared" si="3"/>
        <v>356.00513808606291</v>
      </c>
      <c r="Z35">
        <v>2929</v>
      </c>
      <c r="AA35">
        <v>23.355</v>
      </c>
      <c r="AB35">
        <v>1.2706</v>
      </c>
      <c r="AC35" s="1">
        <f t="shared" si="4"/>
        <v>6355975.8450677069</v>
      </c>
      <c r="AD35">
        <f t="shared" si="11"/>
        <v>211.29921472651296</v>
      </c>
      <c r="AE35" s="1">
        <f t="shared" si="5"/>
        <v>4.5055891332010836E-2</v>
      </c>
      <c r="AF35" s="1">
        <f t="shared" si="12"/>
        <v>9.520274457256992</v>
      </c>
    </row>
    <row r="36" spans="8:32">
      <c r="H36" s="1">
        <f t="shared" si="13"/>
        <v>3.4000000000000017</v>
      </c>
      <c r="I36" s="1">
        <f t="shared" si="14"/>
        <v>0.11261503161437601</v>
      </c>
      <c r="J36">
        <f t="shared" si="6"/>
        <v>2823639.766987355</v>
      </c>
      <c r="K36" s="1">
        <f t="shared" si="7"/>
        <v>9.3509544134482443</v>
      </c>
      <c r="L36" s="1">
        <f t="shared" si="15"/>
        <v>9.3845859678646677E-5</v>
      </c>
      <c r="M36" s="1">
        <f t="shared" si="8"/>
        <v>5.0024794823847851E-4</v>
      </c>
      <c r="N36" s="1">
        <f t="shared" si="20"/>
        <v>4.2574794823847838E-4</v>
      </c>
      <c r="O36">
        <v>83000</v>
      </c>
      <c r="P36" s="1">
        <f t="shared" si="16"/>
        <v>0.1049527703984172</v>
      </c>
      <c r="Q36" s="1">
        <f t="shared" si="17"/>
        <v>3.4604907018008287E-2</v>
      </c>
      <c r="R36" s="1">
        <f t="shared" si="18"/>
        <v>7.7106003888096437E-4</v>
      </c>
      <c r="S36" s="1">
        <f t="shared" si="0"/>
        <v>3.3086251578964256E-2</v>
      </c>
      <c r="T36" s="1">
        <f t="shared" si="9"/>
        <v>0.14248541964347244</v>
      </c>
      <c r="U36" s="1">
        <f t="shared" si="1"/>
        <v>0.25510045125784847</v>
      </c>
      <c r="V36" s="1">
        <f t="shared" si="19"/>
        <v>3.0145899999999999E-5</v>
      </c>
      <c r="W36" s="1">
        <f t="shared" si="2"/>
        <v>8462.1939055675393</v>
      </c>
      <c r="X36" s="1">
        <f t="shared" si="10"/>
        <v>3.4036805694234329</v>
      </c>
      <c r="Y36">
        <f t="shared" si="3"/>
        <v>356.00513808606291</v>
      </c>
      <c r="Z36">
        <v>2929</v>
      </c>
      <c r="AA36">
        <v>23.355</v>
      </c>
      <c r="AB36">
        <v>1.2706</v>
      </c>
      <c r="AC36" s="1">
        <f t="shared" si="4"/>
        <v>6298652.469474976</v>
      </c>
      <c r="AD36">
        <f t="shared" si="11"/>
        <v>211.29921472651296</v>
      </c>
      <c r="AE36" s="1">
        <f t="shared" si="5"/>
        <v>4.485225576108557E-2</v>
      </c>
      <c r="AF36" s="1">
        <f t="shared" si="12"/>
        <v>9.4772464210300971</v>
      </c>
    </row>
    <row r="37" spans="8:32">
      <c r="H37" s="1">
        <f t="shared" si="13"/>
        <v>3.5000000000000018</v>
      </c>
      <c r="I37" s="1">
        <f t="shared" si="14"/>
        <v>0.11157334374079091</v>
      </c>
      <c r="J37">
        <f t="shared" si="6"/>
        <v>2771644.0870474135</v>
      </c>
      <c r="K37" s="1">
        <f t="shared" si="7"/>
        <v>9.2644581821787728</v>
      </c>
      <c r="L37" s="1">
        <f t="shared" si="15"/>
        <v>9.2977786450659087E-5</v>
      </c>
      <c r="M37" s="1">
        <f t="shared" si="8"/>
        <v>5.0963253420634321E-4</v>
      </c>
      <c r="N37" s="1">
        <f t="shared" si="20"/>
        <v>4.3513253420634303E-4</v>
      </c>
      <c r="O37">
        <v>83000</v>
      </c>
      <c r="P37" s="1">
        <f t="shared" si="16"/>
        <v>0.10502987640230529</v>
      </c>
      <c r="Q37" s="1">
        <f t="shared" si="17"/>
        <v>3.4655772302070814E-2</v>
      </c>
      <c r="R37" s="1">
        <f t="shared" si="18"/>
        <v>7.6445011163634087E-4</v>
      </c>
      <c r="S37" s="1">
        <f t="shared" si="0"/>
        <v>3.2850835166400437E-2</v>
      </c>
      <c r="T37" s="1">
        <f t="shared" si="9"/>
        <v>0.14577050316011247</v>
      </c>
      <c r="U37" s="1">
        <f t="shared" si="1"/>
        <v>0.25734384690090339</v>
      </c>
      <c r="V37" s="1">
        <f t="shared" si="19"/>
        <v>3.0145899999999999E-5</v>
      </c>
      <c r="W37" s="1">
        <f t="shared" si="2"/>
        <v>8536.6118411095176</v>
      </c>
      <c r="X37" s="1">
        <f t="shared" si="10"/>
        <v>3.3963624722365418</v>
      </c>
      <c r="Y37">
        <f t="shared" si="3"/>
        <v>356.00513808606291</v>
      </c>
      <c r="Z37">
        <v>2929</v>
      </c>
      <c r="AA37">
        <v>23.355</v>
      </c>
      <c r="AB37">
        <v>1.2706</v>
      </c>
      <c r="AC37" s="1">
        <f t="shared" si="4"/>
        <v>6243443.3739239443</v>
      </c>
      <c r="AD37">
        <f t="shared" si="11"/>
        <v>211.29921472651296</v>
      </c>
      <c r="AE37" s="1">
        <f t="shared" si="5"/>
        <v>4.4655253098640393E-2</v>
      </c>
      <c r="AF37" s="1">
        <f t="shared" si="12"/>
        <v>9.4356199131563994</v>
      </c>
    </row>
    <row r="38" spans="8:32">
      <c r="H38" s="1">
        <f t="shared" si="13"/>
        <v>3.6000000000000019</v>
      </c>
      <c r="I38" s="1">
        <f t="shared" si="14"/>
        <v>0.11056928492691206</v>
      </c>
      <c r="J38">
        <f t="shared" si="6"/>
        <v>2721983.9832414296</v>
      </c>
      <c r="K38" s="1">
        <f t="shared" si="7"/>
        <v>9.1810864682751419</v>
      </c>
      <c r="L38" s="1">
        <f t="shared" si="15"/>
        <v>9.2141070772426721E-5</v>
      </c>
      <c r="M38" s="1">
        <f t="shared" si="8"/>
        <v>5.1893031285140908E-4</v>
      </c>
      <c r="N38" s="1">
        <f t="shared" si="20"/>
        <v>4.4443031285140895E-4</v>
      </c>
      <c r="O38">
        <v>83000</v>
      </c>
      <c r="P38" s="1">
        <f t="shared" si="16"/>
        <v>0.10510632141346893</v>
      </c>
      <c r="Q38" s="1">
        <f t="shared" si="17"/>
        <v>3.4706238419163496E-2</v>
      </c>
      <c r="R38" s="1">
        <f t="shared" si="18"/>
        <v>7.5805866923987471E-4</v>
      </c>
      <c r="S38" s="1">
        <f t="shared" si="0"/>
        <v>3.2623612488837585E-2</v>
      </c>
      <c r="T38" s="1">
        <f t="shared" si="9"/>
        <v>0.14903286440899624</v>
      </c>
      <c r="U38" s="1">
        <f t="shared" si="1"/>
        <v>0.25960214933590831</v>
      </c>
      <c r="V38" s="1">
        <f t="shared" si="19"/>
        <v>3.0145899999999999E-5</v>
      </c>
      <c r="W38" s="1">
        <f t="shared" si="2"/>
        <v>8611.5242648555304</v>
      </c>
      <c r="X38" s="1">
        <f t="shared" si="10"/>
        <v>3.3892409972912771</v>
      </c>
      <c r="Y38">
        <f t="shared" si="3"/>
        <v>356.00513808606291</v>
      </c>
      <c r="Z38">
        <v>2929</v>
      </c>
      <c r="AA38">
        <v>23.355</v>
      </c>
      <c r="AB38">
        <v>1.2706</v>
      </c>
      <c r="AC38" s="1">
        <f t="shared" si="4"/>
        <v>6190215.1933841957</v>
      </c>
      <c r="AD38">
        <f t="shared" si="11"/>
        <v>211.29921472651296</v>
      </c>
      <c r="AE38" s="1">
        <f t="shared" si="5"/>
        <v>4.4464492526505688E-2</v>
      </c>
      <c r="AF38" s="1">
        <f t="shared" si="12"/>
        <v>9.3953123540635559</v>
      </c>
    </row>
    <row r="39" spans="8:32">
      <c r="H39" s="1">
        <f t="shared" si="13"/>
        <v>3.700000000000002</v>
      </c>
      <c r="I39" s="1">
        <f t="shared" si="14"/>
        <v>0.10960053479578671</v>
      </c>
      <c r="J39">
        <f t="shared" si="6"/>
        <v>2674495.7377204141</v>
      </c>
      <c r="K39" s="1">
        <f t="shared" si="7"/>
        <v>9.1006465999528121</v>
      </c>
      <c r="L39" s="1">
        <f t="shared" si="15"/>
        <v>9.1333778996488925E-5</v>
      </c>
      <c r="M39" s="1">
        <f t="shared" si="8"/>
        <v>5.2814441992865178E-4</v>
      </c>
      <c r="N39" s="1">
        <f t="shared" si="20"/>
        <v>4.5364441992865165E-4</v>
      </c>
      <c r="O39">
        <v>83000</v>
      </c>
      <c r="P39" s="1">
        <f t="shared" si="16"/>
        <v>0.10518212728039292</v>
      </c>
      <c r="Q39" s="1">
        <f t="shared" si="17"/>
        <v>3.4756318856024745E-2</v>
      </c>
      <c r="R39" s="1">
        <f t="shared" si="18"/>
        <v>7.5187280204455067E-4</v>
      </c>
      <c r="S39" s="1">
        <f t="shared" si="0"/>
        <v>3.2404090250321142E-2</v>
      </c>
      <c r="T39" s="1">
        <f t="shared" si="9"/>
        <v>0.15227327343402836</v>
      </c>
      <c r="U39" s="1">
        <f t="shared" si="1"/>
        <v>0.2618738082298151</v>
      </c>
      <c r="V39" s="1">
        <f t="shared" si="19"/>
        <v>3.0145899999999999E-5</v>
      </c>
      <c r="W39" s="1">
        <f t="shared" si="2"/>
        <v>8686.8797491471505</v>
      </c>
      <c r="X39" s="1">
        <f t="shared" si="10"/>
        <v>3.3823055654123948</v>
      </c>
      <c r="Y39">
        <f t="shared" si="3"/>
        <v>356.00513808606291</v>
      </c>
      <c r="Z39">
        <v>2929</v>
      </c>
      <c r="AA39">
        <v>23.355</v>
      </c>
      <c r="AB39">
        <v>1.2706</v>
      </c>
      <c r="AC39" s="1">
        <f t="shared" si="4"/>
        <v>6138846.2930463636</v>
      </c>
      <c r="AD39">
        <f t="shared" si="11"/>
        <v>211.29921472651296</v>
      </c>
      <c r="AE39" s="1">
        <f t="shared" si="5"/>
        <v>4.4279616043483308E-2</v>
      </c>
      <c r="AF39" s="1">
        <f t="shared" si="12"/>
        <v>9.3562480983795275</v>
      </c>
    </row>
    <row r="40" spans="8:32">
      <c r="H40" s="1">
        <f t="shared" si="13"/>
        <v>3.800000000000002</v>
      </c>
      <c r="I40" s="1">
        <f t="shared" si="14"/>
        <v>0.10866497237161692</v>
      </c>
      <c r="J40">
        <f t="shared" si="6"/>
        <v>2629031.025866814</v>
      </c>
      <c r="K40" s="1">
        <f t="shared" si="7"/>
        <v>9.0229624626406313</v>
      </c>
      <c r="L40" s="1">
        <f t="shared" si="15"/>
        <v>9.0554143643014096E-5</v>
      </c>
      <c r="M40" s="1">
        <f t="shared" si="8"/>
        <v>5.3727779782830067E-4</v>
      </c>
      <c r="N40" s="1">
        <f t="shared" si="20"/>
        <v>4.6277779782830054E-4</v>
      </c>
      <c r="O40">
        <v>83000</v>
      </c>
      <c r="P40" s="1">
        <f t="shared" si="16"/>
        <v>0.10525731456059738</v>
      </c>
      <c r="Q40" s="1">
        <f t="shared" si="17"/>
        <v>3.4806026295116456E-2</v>
      </c>
      <c r="R40" s="1">
        <f t="shared" si="18"/>
        <v>7.4588068104362252E-4</v>
      </c>
      <c r="S40" s="1">
        <f t="shared" si="0"/>
        <v>3.219181682080538E-2</v>
      </c>
      <c r="T40" s="1">
        <f t="shared" si="9"/>
        <v>0.1554924551161089</v>
      </c>
      <c r="U40" s="1">
        <f t="shared" si="1"/>
        <v>0.2641574274877258</v>
      </c>
      <c r="V40" s="1">
        <f t="shared" si="19"/>
        <v>3.0145899999999999E-5</v>
      </c>
      <c r="W40" s="1">
        <f t="shared" si="2"/>
        <v>8762.6319827149237</v>
      </c>
      <c r="X40" s="1">
        <f t="shared" si="10"/>
        <v>3.3755464308366525</v>
      </c>
      <c r="Y40">
        <f t="shared" si="3"/>
        <v>356.00513808606291</v>
      </c>
      <c r="Z40">
        <v>2929</v>
      </c>
      <c r="AA40">
        <v>23.355</v>
      </c>
      <c r="AB40">
        <v>1.2706</v>
      </c>
      <c r="AC40" s="1">
        <f t="shared" si="4"/>
        <v>6089225.4594070669</v>
      </c>
      <c r="AD40">
        <f t="shared" si="11"/>
        <v>211.29921472651296</v>
      </c>
      <c r="AE40" s="1">
        <f t="shared" si="5"/>
        <v>4.4100294928830469E-2</v>
      </c>
      <c r="AF40" s="1">
        <f t="shared" si="12"/>
        <v>9.3183576876694989</v>
      </c>
    </row>
    <row r="41" spans="8:32">
      <c r="H41" s="1">
        <f t="shared" si="13"/>
        <v>3.9000000000000021</v>
      </c>
      <c r="I41" s="1">
        <f t="shared" si="14"/>
        <v>0.10776065434243827</v>
      </c>
      <c r="J41">
        <f t="shared" si="6"/>
        <v>2585455.1187381153</v>
      </c>
      <c r="K41" s="1">
        <f t="shared" si="7"/>
        <v>8.9478726940290567</v>
      </c>
      <c r="L41" s="1">
        <f t="shared" si="15"/>
        <v>8.9800545285365229E-5</v>
      </c>
      <c r="M41" s="1">
        <f t="shared" si="8"/>
        <v>5.4633321219260211E-4</v>
      </c>
      <c r="N41" s="1">
        <f t="shared" si="20"/>
        <v>4.7183321219260193E-4</v>
      </c>
      <c r="O41">
        <v>83000</v>
      </c>
      <c r="P41" s="1">
        <f t="shared" si="16"/>
        <v>0.10533190262870173</v>
      </c>
      <c r="Q41" s="1">
        <f t="shared" si="17"/>
        <v>3.4855372682255338E-2</v>
      </c>
      <c r="R41" s="1">
        <f t="shared" si="18"/>
        <v>7.4007144223956942E-4</v>
      </c>
      <c r="S41" s="1">
        <f t="shared" si="0"/>
        <v>3.1986377754135452E-2</v>
      </c>
      <c r="T41" s="1">
        <f t="shared" si="9"/>
        <v>0.15869109289152245</v>
      </c>
      <c r="U41" s="1">
        <f t="shared" si="1"/>
        <v>0.2664517472339607</v>
      </c>
      <c r="V41" s="1">
        <f t="shared" si="19"/>
        <v>3.0145899999999999E-5</v>
      </c>
      <c r="W41" s="1">
        <f t="shared" si="2"/>
        <v>8838.7391729542232</v>
      </c>
      <c r="X41" s="1">
        <f t="shared" si="10"/>
        <v>3.3689545959453353</v>
      </c>
      <c r="Y41">
        <f t="shared" si="3"/>
        <v>356.00513808606291</v>
      </c>
      <c r="Z41">
        <v>2929</v>
      </c>
      <c r="AA41">
        <v>23.355</v>
      </c>
      <c r="AB41">
        <v>1.2706</v>
      </c>
      <c r="AC41" s="1">
        <f t="shared" si="4"/>
        <v>6041250.7668094151</v>
      </c>
      <c r="AD41">
        <f t="shared" si="11"/>
        <v>211.29921472651296</v>
      </c>
      <c r="AE41" s="1">
        <f t="shared" si="5"/>
        <v>4.392622666684759E-2</v>
      </c>
      <c r="AF41" s="1">
        <f t="shared" si="12"/>
        <v>9.2815772006037083</v>
      </c>
    </row>
    <row r="42" spans="8:32">
      <c r="H42" s="1">
        <f t="shared" si="13"/>
        <v>4.0000000000000018</v>
      </c>
      <c r="I42" s="1">
        <f t="shared" si="14"/>
        <v>0.10688579616990562</v>
      </c>
      <c r="J42">
        <f t="shared" si="6"/>
        <v>2543645.3343538153</v>
      </c>
      <c r="K42" s="1">
        <f t="shared" si="7"/>
        <v>8.8752291155270431</v>
      </c>
      <c r="L42" s="1">
        <f t="shared" si="15"/>
        <v>8.9071496808254679E-5</v>
      </c>
      <c r="M42" s="1">
        <f t="shared" si="8"/>
        <v>5.5531326672113865E-4</v>
      </c>
      <c r="N42" s="1">
        <f t="shared" si="20"/>
        <v>4.8081326672113847E-4</v>
      </c>
      <c r="O42">
        <v>83000</v>
      </c>
      <c r="P42" s="1">
        <f t="shared" si="16"/>
        <v>0.10540590977292569</v>
      </c>
      <c r="Q42" s="1">
        <f t="shared" si="17"/>
        <v>3.4904369286988007E-2</v>
      </c>
      <c r="R42" s="1">
        <f t="shared" si="18"/>
        <v>7.3443508594332448E-4</v>
      </c>
      <c r="S42" s="1">
        <f t="shared" si="0"/>
        <v>3.178739188678735E-2</v>
      </c>
      <c r="T42" s="1">
        <f t="shared" si="9"/>
        <v>0.16186983208020117</v>
      </c>
      <c r="U42" s="1">
        <f t="shared" si="1"/>
        <v>0.26875562825010679</v>
      </c>
      <c r="V42" s="1">
        <f t="shared" si="19"/>
        <v>3.0145899999999999E-5</v>
      </c>
      <c r="W42" s="1">
        <f t="shared" si="2"/>
        <v>8915.1635297040993</v>
      </c>
      <c r="X42" s="1">
        <f t="shared" si="10"/>
        <v>3.3625217366239299</v>
      </c>
      <c r="Y42">
        <f t="shared" si="3"/>
        <v>356.00513808606291</v>
      </c>
      <c r="Z42">
        <v>2929</v>
      </c>
      <c r="AA42">
        <v>23.355</v>
      </c>
      <c r="AB42">
        <v>1.2706</v>
      </c>
      <c r="AC42" s="1">
        <f t="shared" si="4"/>
        <v>5994828.5921697421</v>
      </c>
      <c r="AD42">
        <f t="shared" si="11"/>
        <v>211.29921472651296</v>
      </c>
      <c r="AE42" s="1">
        <f t="shared" si="5"/>
        <v>4.3757132262525811E-2</v>
      </c>
      <c r="AF42" s="1">
        <f t="shared" si="12"/>
        <v>9.2458476857558693</v>
      </c>
    </row>
    <row r="43" spans="8:32">
      <c r="H43" s="1">
        <f t="shared" si="13"/>
        <v>4.1000000000000014</v>
      </c>
      <c r="I43" s="1">
        <f t="shared" si="14"/>
        <v>0.10603875561369901</v>
      </c>
      <c r="J43">
        <f t="shared" si="6"/>
        <v>2503489.6982417712</v>
      </c>
      <c r="K43" s="1">
        <f t="shared" si="7"/>
        <v>8.8048953642161845</v>
      </c>
      <c r="L43" s="1">
        <f t="shared" si="15"/>
        <v>8.8365629678082501E-5</v>
      </c>
      <c r="M43" s="1">
        <f t="shared" si="8"/>
        <v>5.6422041640196417E-4</v>
      </c>
      <c r="N43" s="1">
        <f t="shared" si="20"/>
        <v>4.8972041640196393E-4</v>
      </c>
      <c r="O43">
        <v>83000</v>
      </c>
      <c r="P43" s="1">
        <f t="shared" si="16"/>
        <v>0.10547935328152001</v>
      </c>
      <c r="Q43" s="1">
        <f t="shared" si="17"/>
        <v>3.4953026756648291E-2</v>
      </c>
      <c r="R43" s="1">
        <f t="shared" si="18"/>
        <v>7.2896238876176919E-4</v>
      </c>
      <c r="S43" s="1">
        <f t="shared" si="0"/>
        <v>3.1594507929935664E-2</v>
      </c>
      <c r="T43" s="1">
        <f t="shared" si="9"/>
        <v>0.16502928287319474</v>
      </c>
      <c r="U43" s="1">
        <f t="shared" si="1"/>
        <v>0.27106803848689376</v>
      </c>
      <c r="V43" s="1">
        <f t="shared" si="19"/>
        <v>3.0145899999999999E-5</v>
      </c>
      <c r="W43" s="1">
        <f t="shared" si="2"/>
        <v>8991.8708178191318</v>
      </c>
      <c r="X43" s="1">
        <f t="shared" si="10"/>
        <v>3.3562401366988133</v>
      </c>
      <c r="Y43">
        <f t="shared" si="3"/>
        <v>356.00513808606291</v>
      </c>
      <c r="Z43">
        <v>2929</v>
      </c>
      <c r="AA43">
        <v>23.355</v>
      </c>
      <c r="AB43">
        <v>1.2706</v>
      </c>
      <c r="AC43" s="1">
        <f t="shared" si="4"/>
        <v>5949872.7554146843</v>
      </c>
      <c r="AD43">
        <f t="shared" si="11"/>
        <v>211.29921472651296</v>
      </c>
      <c r="AE43" s="1">
        <f t="shared" si="5"/>
        <v>4.359275389028628E-2</v>
      </c>
      <c r="AF43" s="1">
        <f t="shared" si="12"/>
        <v>9.2111146647836346</v>
      </c>
    </row>
    <row r="44" spans="8:32">
      <c r="H44" s="1">
        <f t="shared" si="13"/>
        <v>4.2000000000000011</v>
      </c>
      <c r="I44" s="1">
        <f t="shared" si="14"/>
        <v>0.10521801831239183</v>
      </c>
      <c r="J44">
        <f t="shared" si="6"/>
        <v>2464885.7807358685</v>
      </c>
      <c r="K44" s="1">
        <f t="shared" si="7"/>
        <v>8.7367456955625382</v>
      </c>
      <c r="L44" s="1">
        <f t="shared" si="15"/>
        <v>8.7681681926993189E-5</v>
      </c>
      <c r="M44" s="1">
        <f t="shared" si="8"/>
        <v>5.7305697936977241E-4</v>
      </c>
      <c r="N44" s="1">
        <f t="shared" si="20"/>
        <v>4.9855697936977217E-4</v>
      </c>
      <c r="O44">
        <v>83000</v>
      </c>
      <c r="P44" s="1">
        <f t="shared" si="16"/>
        <v>0.10555224952039619</v>
      </c>
      <c r="Q44" s="1">
        <f t="shared" si="17"/>
        <v>3.5001355164894415E-2</v>
      </c>
      <c r="R44" s="1">
        <f t="shared" si="18"/>
        <v>7.2364482641312517E-4</v>
      </c>
      <c r="S44" s="1">
        <f t="shared" si="0"/>
        <v>3.1407401482329962E-2</v>
      </c>
      <c r="T44" s="1">
        <f t="shared" si="9"/>
        <v>0.16817002302142772</v>
      </c>
      <c r="U44" s="1">
        <f t="shared" si="1"/>
        <v>0.27338804133381955</v>
      </c>
      <c r="V44" s="1">
        <f t="shared" si="19"/>
        <v>3.0145899999999999E-5</v>
      </c>
      <c r="W44" s="1">
        <f t="shared" si="2"/>
        <v>9068.8299680493728</v>
      </c>
      <c r="X44" s="1">
        <f t="shared" si="10"/>
        <v>3.3501026301583172</v>
      </c>
      <c r="Y44">
        <f t="shared" si="3"/>
        <v>356.00513808606291</v>
      </c>
      <c r="Z44">
        <v>2929</v>
      </c>
      <c r="AA44">
        <v>23.355</v>
      </c>
      <c r="AB44">
        <v>1.2706</v>
      </c>
      <c r="AC44" s="1">
        <f t="shared" si="4"/>
        <v>5906303.7670104336</v>
      </c>
      <c r="AD44">
        <f t="shared" si="11"/>
        <v>211.29921472651296</v>
      </c>
      <c r="AE44" s="1">
        <f t="shared" si="5"/>
        <v>4.3432852827600711E-2</v>
      </c>
      <c r="AF44" s="1">
        <f t="shared" si="12"/>
        <v>9.1773276958042374</v>
      </c>
    </row>
    <row r="45" spans="8:32">
      <c r="H45" s="1">
        <f t="shared" si="13"/>
        <v>4.3000000000000007</v>
      </c>
      <c r="I45" s="1">
        <f t="shared" si="14"/>
        <v>0.10442218512275864</v>
      </c>
      <c r="J45">
        <f t="shared" si="6"/>
        <v>2427739.6841949578</v>
      </c>
      <c r="K45" s="1">
        <f t="shared" si="7"/>
        <v>8.670663932139945</v>
      </c>
      <c r="L45" s="1">
        <f t="shared" si="15"/>
        <v>8.7018487602298869E-5</v>
      </c>
      <c r="M45" s="1">
        <f t="shared" si="8"/>
        <v>5.8182514756247169E-4</v>
      </c>
      <c r="N45" s="1">
        <f t="shared" si="20"/>
        <v>5.0732514756247145E-4</v>
      </c>
      <c r="O45">
        <v>83000</v>
      </c>
      <c r="P45" s="1">
        <f t="shared" si="16"/>
        <v>0.10562461400303749</v>
      </c>
      <c r="Q45" s="1">
        <f t="shared" si="17"/>
        <v>3.5049364055406429E-2</v>
      </c>
      <c r="R45" s="1">
        <f t="shared" si="18"/>
        <v>7.184745058192388E-4</v>
      </c>
      <c r="S45" s="1">
        <f t="shared" si="0"/>
        <v>3.1225772403543538E-2</v>
      </c>
      <c r="T45" s="1">
        <f t="shared" si="9"/>
        <v>0.17129260026178209</v>
      </c>
      <c r="U45" s="1">
        <f t="shared" si="1"/>
        <v>0.27571478538454075</v>
      </c>
      <c r="V45" s="1">
        <f t="shared" si="19"/>
        <v>3.0145899999999999E-5</v>
      </c>
      <c r="W45" s="1">
        <f t="shared" si="2"/>
        <v>9146.0127375377997</v>
      </c>
      <c r="X45" s="1">
        <f t="shared" si="10"/>
        <v>3.3441025500752284</v>
      </c>
      <c r="Y45">
        <f t="shared" si="3"/>
        <v>356.00513808606291</v>
      </c>
      <c r="Z45">
        <v>2929</v>
      </c>
      <c r="AA45">
        <v>23.355</v>
      </c>
      <c r="AB45">
        <v>1.2706</v>
      </c>
      <c r="AC45" s="1">
        <f t="shared" si="4"/>
        <v>5864048.1670880225</v>
      </c>
      <c r="AD45">
        <f t="shared" si="11"/>
        <v>211.29921472651296</v>
      </c>
      <c r="AE45" s="1">
        <f t="shared" si="5"/>
        <v>4.3277207633211273E-2</v>
      </c>
      <c r="AF45" s="1">
        <f t="shared" si="12"/>
        <v>9.1444399884537937</v>
      </c>
    </row>
    <row r="46" spans="8:32">
      <c r="H46" s="1">
        <f t="shared" si="13"/>
        <v>4.4000000000000004</v>
      </c>
      <c r="I46" s="1">
        <f t="shared" si="14"/>
        <v>0.10364996096841603</v>
      </c>
      <c r="J46">
        <f t="shared" si="6"/>
        <v>2391965.1578945066</v>
      </c>
      <c r="K46" s="1">
        <f t="shared" si="7"/>
        <v>8.606542537680383</v>
      </c>
      <c r="L46" s="1">
        <f t="shared" si="15"/>
        <v>8.6374967473680023E-5</v>
      </c>
      <c r="M46" s="1">
        <f t="shared" si="8"/>
        <v>5.905269963227016E-4</v>
      </c>
      <c r="N46" s="1">
        <f t="shared" si="20"/>
        <v>5.1602699632270137E-4</v>
      </c>
      <c r="O46">
        <v>83000</v>
      </c>
      <c r="P46" s="1">
        <f t="shared" si="16"/>
        <v>0.10569646145361941</v>
      </c>
      <c r="Q46" s="1">
        <f t="shared" si="17"/>
        <v>3.5097062481326581E-2</v>
      </c>
      <c r="R46" s="1">
        <f t="shared" si="18"/>
        <v>7.1344410517587228E-4</v>
      </c>
      <c r="S46" s="1">
        <f t="shared" si="0"/>
        <v>3.1049342497001736E-2</v>
      </c>
      <c r="T46" s="1">
        <f t="shared" si="9"/>
        <v>0.17439753451148227</v>
      </c>
      <c r="U46" s="1">
        <f t="shared" si="1"/>
        <v>0.27804749547989827</v>
      </c>
      <c r="V46" s="1">
        <f t="shared" si="19"/>
        <v>3.0145899999999999E-5</v>
      </c>
      <c r="W46" s="1">
        <f t="shared" si="2"/>
        <v>9223.3934126995136</v>
      </c>
      <c r="X46" s="1">
        <f t="shared" si="10"/>
        <v>3.3382336833195398</v>
      </c>
      <c r="Y46">
        <f t="shared" si="3"/>
        <v>356.00513808606291</v>
      </c>
      <c r="Z46">
        <v>2929</v>
      </c>
      <c r="AA46">
        <v>23.355</v>
      </c>
      <c r="AB46">
        <v>1.2706</v>
      </c>
      <c r="AC46" s="1">
        <f t="shared" si="4"/>
        <v>5823037.943208674</v>
      </c>
      <c r="AD46">
        <f t="shared" si="11"/>
        <v>211.29921472651296</v>
      </c>
      <c r="AE46" s="1">
        <f t="shared" si="5"/>
        <v>4.312561253614236E-2</v>
      </c>
      <c r="AF46" s="1">
        <f t="shared" si="12"/>
        <v>9.1124080634867433</v>
      </c>
    </row>
    <row r="47" spans="8:32">
      <c r="H47" s="1">
        <f t="shared" si="13"/>
        <v>4.5</v>
      </c>
      <c r="I47" s="1">
        <f t="shared" si="14"/>
        <v>0.10290014498867642</v>
      </c>
      <c r="J47">
        <f t="shared" si="6"/>
        <v>2357482.8220583694</v>
      </c>
      <c r="K47" s="1">
        <f t="shared" si="7"/>
        <v>8.5442817990870719</v>
      </c>
      <c r="L47" s="1">
        <f t="shared" si="15"/>
        <v>8.5750120823897014E-5</v>
      </c>
      <c r="M47" s="1">
        <f t="shared" si="8"/>
        <v>5.9916449307006959E-4</v>
      </c>
      <c r="N47" s="1">
        <f t="shared" si="20"/>
        <v>5.2466449307006936E-4</v>
      </c>
      <c r="O47">
        <v>83000</v>
      </c>
      <c r="P47" s="1">
        <f t="shared" si="16"/>
        <v>0.105767805864137</v>
      </c>
      <c r="Q47" s="1">
        <f t="shared" si="17"/>
        <v>3.5144459040943987E-2</v>
      </c>
      <c r="R47" s="1">
        <f t="shared" si="18"/>
        <v>7.0854682090858081E-4</v>
      </c>
      <c r="S47" s="1">
        <f t="shared" si="0"/>
        <v>3.087785346025574E-2</v>
      </c>
      <c r="T47" s="1">
        <f t="shared" si="9"/>
        <v>0.17748531985750785</v>
      </c>
      <c r="U47" s="1">
        <f t="shared" si="1"/>
        <v>0.28038546484618426</v>
      </c>
      <c r="V47" s="1">
        <f t="shared" si="19"/>
        <v>3.0145899999999999E-5</v>
      </c>
      <c r="W47" s="1">
        <f t="shared" si="2"/>
        <v>9300.9485484322668</v>
      </c>
      <c r="X47" s="1">
        <f t="shared" si="10"/>
        <v>3.3324902302915511</v>
      </c>
      <c r="Y47">
        <f t="shared" si="3"/>
        <v>356.00513808606291</v>
      </c>
      <c r="Z47">
        <v>2929</v>
      </c>
      <c r="AA47">
        <v>23.355</v>
      </c>
      <c r="AB47">
        <v>1.2706</v>
      </c>
      <c r="AC47" s="1">
        <f t="shared" si="4"/>
        <v>5783210.0158902416</v>
      </c>
      <c r="AD47">
        <f t="shared" si="11"/>
        <v>211.29921472651296</v>
      </c>
      <c r="AE47" s="1">
        <f t="shared" si="5"/>
        <v>4.2977876007012021E-2</v>
      </c>
      <c r="AF47" s="1">
        <f t="shared" si="12"/>
        <v>9.0811914508950817</v>
      </c>
    </row>
    <row r="48" spans="8:32">
      <c r="H48" s="1">
        <f t="shared" si="13"/>
        <v>4.5999999999999996</v>
      </c>
      <c r="I48" s="1">
        <f t="shared" si="14"/>
        <v>0.10217162181134144</v>
      </c>
      <c r="J48">
        <f t="shared" si="6"/>
        <v>2324219.4855271932</v>
      </c>
      <c r="K48" s="1">
        <f t="shared" si="7"/>
        <v>8.48378910177356</v>
      </c>
      <c r="L48" s="1">
        <f t="shared" si="15"/>
        <v>8.5143018176117872E-5</v>
      </c>
      <c r="M48" s="1">
        <f t="shared" si="8"/>
        <v>6.0773950515245929E-4</v>
      </c>
      <c r="N48" s="1">
        <f t="shared" si="20"/>
        <v>5.3323950515245906E-4</v>
      </c>
      <c r="O48">
        <v>83000</v>
      </c>
      <c r="P48" s="1">
        <f t="shared" si="16"/>
        <v>0.10583866054622786</v>
      </c>
      <c r="Q48" s="1">
        <f t="shared" si="17"/>
        <v>3.5191561910055687E-2</v>
      </c>
      <c r="R48" s="1">
        <f t="shared" si="18"/>
        <v>7.0377632059167759E-4</v>
      </c>
      <c r="S48" s="1">
        <f t="shared" si="0"/>
        <v>3.0711065066597196E-2</v>
      </c>
      <c r="T48" s="1">
        <f t="shared" si="9"/>
        <v>0.18055642636416758</v>
      </c>
      <c r="U48" s="1">
        <f t="shared" si="1"/>
        <v>0.28272804817550901</v>
      </c>
      <c r="V48" s="1">
        <f t="shared" si="19"/>
        <v>3.0145899999999999E-5</v>
      </c>
      <c r="W48" s="1">
        <f t="shared" si="2"/>
        <v>9378.6567385783474</v>
      </c>
      <c r="X48" s="1">
        <f t="shared" si="10"/>
        <v>3.3268667690222218</v>
      </c>
      <c r="Y48">
        <f t="shared" si="3"/>
        <v>356.00513808606291</v>
      </c>
      <c r="Z48">
        <v>2929</v>
      </c>
      <c r="AA48">
        <v>23.355</v>
      </c>
      <c r="AB48">
        <v>1.2706</v>
      </c>
      <c r="AC48" s="1">
        <f t="shared" si="4"/>
        <v>5744505.7827222692</v>
      </c>
      <c r="AD48">
        <f t="shared" si="11"/>
        <v>211.29921472651296</v>
      </c>
      <c r="AE48" s="1">
        <f t="shared" si="5"/>
        <v>4.2833819487532156E-2</v>
      </c>
      <c r="AF48" s="1">
        <f t="shared" si="12"/>
        <v>9.0507524214527528</v>
      </c>
    </row>
    <row r="49" spans="8:32">
      <c r="H49" s="1">
        <f t="shared" si="13"/>
        <v>4.6999999999999993</v>
      </c>
      <c r="I49" s="1">
        <f t="shared" si="14"/>
        <v>0.10146335380026572</v>
      </c>
      <c r="J49">
        <f t="shared" si="6"/>
        <v>2292107.5440408601</v>
      </c>
      <c r="K49" s="1">
        <f t="shared" si="7"/>
        <v>8.4249782859425846</v>
      </c>
      <c r="L49" s="1">
        <f t="shared" si="15"/>
        <v>8.4552794833554767E-5</v>
      </c>
      <c r="M49" s="1">
        <f t="shared" si="8"/>
        <v>6.1625380697007104E-4</v>
      </c>
      <c r="N49" s="1">
        <f t="shared" si="20"/>
        <v>5.4175380697007081E-4</v>
      </c>
      <c r="O49">
        <v>83000</v>
      </c>
      <c r="P49" s="1">
        <f t="shared" si="16"/>
        <v>0.10590903817828702</v>
      </c>
      <c r="Q49" s="1">
        <f t="shared" si="17"/>
        <v>3.5238378871378727E-2</v>
      </c>
      <c r="R49" s="1">
        <f t="shared" si="18"/>
        <v>6.991267010482275E-4</v>
      </c>
      <c r="S49" s="1">
        <f t="shared" si="0"/>
        <v>3.054875354758687E-2</v>
      </c>
      <c r="T49" s="1">
        <f t="shared" si="9"/>
        <v>0.18361130171892626</v>
      </c>
      <c r="U49" s="1">
        <f t="shared" si="1"/>
        <v>0.28507465551919198</v>
      </c>
      <c r="V49" s="1">
        <f t="shared" si="19"/>
        <v>3.0145899999999999E-5</v>
      </c>
      <c r="W49" s="1">
        <f t="shared" si="2"/>
        <v>9456.4984133561102</v>
      </c>
      <c r="X49" s="1">
        <f t="shared" si="10"/>
        <v>3.3213582230847054</v>
      </c>
      <c r="Y49">
        <f t="shared" si="3"/>
        <v>356.00513808606291</v>
      </c>
      <c r="Z49">
        <v>2929</v>
      </c>
      <c r="AA49">
        <v>23.355</v>
      </c>
      <c r="AB49">
        <v>1.2706</v>
      </c>
      <c r="AC49" s="1">
        <f t="shared" si="4"/>
        <v>5706870.7133057946</v>
      </c>
      <c r="AD49">
        <f t="shared" si="11"/>
        <v>211.29921472651296</v>
      </c>
      <c r="AE49" s="1">
        <f t="shared" si="5"/>
        <v>4.2693276257717773E-2</v>
      </c>
      <c r="AF49" s="1">
        <f t="shared" si="12"/>
        <v>9.0210557473578454</v>
      </c>
    </row>
    <row r="50" spans="8:32">
      <c r="H50" s="1">
        <f t="shared" si="13"/>
        <v>4.7999999999999989</v>
      </c>
      <c r="I50" s="1">
        <f t="shared" si="14"/>
        <v>0.1007743741509852</v>
      </c>
      <c r="J50">
        <f t="shared" si="6"/>
        <v>2261084.4481534627</v>
      </c>
      <c r="K50" s="1">
        <f t="shared" si="7"/>
        <v>8.3677690732836822</v>
      </c>
      <c r="L50" s="1">
        <f t="shared" si="15"/>
        <v>8.3978645125820997E-5</v>
      </c>
      <c r="M50" s="1">
        <f t="shared" si="8"/>
        <v>6.2470908645342654E-4</v>
      </c>
      <c r="N50" s="1">
        <f t="shared" si="20"/>
        <v>5.502090864534263E-4</v>
      </c>
      <c r="O50">
        <v>83000</v>
      </c>
      <c r="P50" s="1">
        <f t="shared" si="16"/>
        <v>0.10597895084839185</v>
      </c>
      <c r="Q50" s="1">
        <f t="shared" si="17"/>
        <v>3.5284917341338297E-2</v>
      </c>
      <c r="R50" s="1">
        <f t="shared" si="18"/>
        <v>6.9459245096563447E-4</v>
      </c>
      <c r="S50" s="1">
        <f t="shared" si="0"/>
        <v>3.0390710150617582E-2</v>
      </c>
      <c r="T50" s="1">
        <f t="shared" si="9"/>
        <v>0.18665037273398802</v>
      </c>
      <c r="U50" s="1">
        <f t="shared" si="1"/>
        <v>0.28742474688497321</v>
      </c>
      <c r="V50" s="1">
        <f t="shared" si="19"/>
        <v>3.0145899999999999E-5</v>
      </c>
      <c r="W50" s="1">
        <f t="shared" si="2"/>
        <v>9534.4556601386339</v>
      </c>
      <c r="X50" s="1">
        <f t="shared" si="10"/>
        <v>3.315959832841791</v>
      </c>
      <c r="Y50">
        <f t="shared" si="3"/>
        <v>356.00513808606291</v>
      </c>
      <c r="Z50">
        <v>2929</v>
      </c>
      <c r="AA50">
        <v>23.355</v>
      </c>
      <c r="AB50">
        <v>1.2706</v>
      </c>
      <c r="AC50" s="1">
        <f t="shared" si="4"/>
        <v>5670253.9884216068</v>
      </c>
      <c r="AD50">
        <f t="shared" si="11"/>
        <v>211.29921472651296</v>
      </c>
      <c r="AE50" s="1">
        <f t="shared" si="5"/>
        <v>4.2556090423344517E-2</v>
      </c>
      <c r="AF50" s="1">
        <f t="shared" si="12"/>
        <v>8.9920684882831754</v>
      </c>
    </row>
    <row r="51" spans="8:32">
      <c r="H51" s="1">
        <f t="shared" si="13"/>
        <v>4.8999999999999986</v>
      </c>
      <c r="I51" s="1">
        <f t="shared" si="14"/>
        <v>0.10010378072639985</v>
      </c>
      <c r="J51">
        <f t="shared" si="6"/>
        <v>2231092.231485921</v>
      </c>
      <c r="K51" s="1">
        <f t="shared" si="7"/>
        <v>8.3120865551210255</v>
      </c>
      <c r="L51" s="1">
        <f t="shared" si="15"/>
        <v>8.3419817271999867E-5</v>
      </c>
      <c r="M51" s="1">
        <f t="shared" si="8"/>
        <v>6.3310695096600866E-4</v>
      </c>
      <c r="N51" s="1">
        <f t="shared" si="20"/>
        <v>5.5860695096600842E-4</v>
      </c>
      <c r="O51">
        <v>83000</v>
      </c>
      <c r="P51" s="1">
        <f t="shared" si="16"/>
        <v>0.10604841009348841</v>
      </c>
      <c r="Q51" s="1">
        <f t="shared" si="17"/>
        <v>3.5331184394515325E-2</v>
      </c>
      <c r="R51" s="1">
        <f t="shared" si="18"/>
        <v>6.9016841745858507E-4</v>
      </c>
      <c r="S51" s="1">
        <f t="shared" si="0"/>
        <v>3.0236739849420123E-2</v>
      </c>
      <c r="T51" s="1">
        <f t="shared" si="9"/>
        <v>0.18967404671893004</v>
      </c>
      <c r="U51" s="1">
        <f t="shared" si="1"/>
        <v>0.28977782744532987</v>
      </c>
      <c r="V51" s="1">
        <f t="shared" si="19"/>
        <v>3.0145899999999999E-5</v>
      </c>
      <c r="W51" s="1">
        <f t="shared" si="2"/>
        <v>9612.5120645039588</v>
      </c>
      <c r="X51" s="1">
        <f t="shared" si="10"/>
        <v>3.310667129621768</v>
      </c>
      <c r="Y51">
        <f t="shared" si="3"/>
        <v>356.00513808606291</v>
      </c>
      <c r="Z51">
        <v>2929</v>
      </c>
      <c r="AA51">
        <v>23.355</v>
      </c>
      <c r="AB51">
        <v>1.2706</v>
      </c>
      <c r="AC51" s="1">
        <f t="shared" si="4"/>
        <v>5634608.1778027005</v>
      </c>
      <c r="AD51">
        <f t="shared" si="11"/>
        <v>211.29921472651296</v>
      </c>
      <c r="AE51" s="1">
        <f t="shared" si="5"/>
        <v>4.2422116008716558E-2</v>
      </c>
      <c r="AF51" s="1">
        <f t="shared" si="12"/>
        <v>8.9637597996788436</v>
      </c>
    </row>
    <row r="52" spans="8:32">
      <c r="H52" s="1">
        <f t="shared" si="13"/>
        <v>4.9999999999999982</v>
      </c>
      <c r="I52" s="1">
        <f t="shared" si="14"/>
        <v>9.9450730540121865E-2</v>
      </c>
      <c r="J52">
        <f t="shared" si="6"/>
        <v>2202077.0914207413</v>
      </c>
      <c r="K52" s="1">
        <f t="shared" si="7"/>
        <v>8.2578607343399231</v>
      </c>
      <c r="L52" s="1">
        <f t="shared" si="15"/>
        <v>8.2875608783434886E-5</v>
      </c>
      <c r="M52" s="1">
        <f t="shared" si="8"/>
        <v>6.4144893269320867E-4</v>
      </c>
      <c r="N52" s="1">
        <f t="shared" si="20"/>
        <v>5.6694893269320843E-4</v>
      </c>
      <c r="O52">
        <v>83000</v>
      </c>
      <c r="P52" s="1">
        <f t="shared" si="16"/>
        <v>0.10611742693523427</v>
      </c>
      <c r="Q52" s="1">
        <f t="shared" si="17"/>
        <v>3.5377186786001318E-2</v>
      </c>
      <c r="R52" s="1">
        <f t="shared" si="18"/>
        <v>6.8584977609248172E-4</v>
      </c>
      <c r="S52" s="1">
        <f t="shared" si="0"/>
        <v>3.0086660188591522E-2</v>
      </c>
      <c r="T52" s="1">
        <f t="shared" si="9"/>
        <v>0.1926827127377892</v>
      </c>
      <c r="U52" s="1">
        <f t="shared" si="1"/>
        <v>0.29213344327791108</v>
      </c>
      <c r="V52" s="1">
        <f t="shared" si="19"/>
        <v>3.0145899999999999E-5</v>
      </c>
      <c r="W52" s="1">
        <f t="shared" si="2"/>
        <v>9690.6525689367736</v>
      </c>
      <c r="X52" s="1">
        <f t="shared" si="10"/>
        <v>3.3054759124720765</v>
      </c>
      <c r="Y52">
        <f t="shared" si="3"/>
        <v>356.00513808606291</v>
      </c>
      <c r="Z52">
        <v>2929</v>
      </c>
      <c r="AA52">
        <v>23.355</v>
      </c>
      <c r="AB52">
        <v>1.2706</v>
      </c>
      <c r="AC52" s="1">
        <f t="shared" si="4"/>
        <v>5599888.9516990138</v>
      </c>
      <c r="AD52">
        <f t="shared" si="11"/>
        <v>211.29921472651296</v>
      </c>
      <c r="AE52" s="1">
        <f t="shared" si="5"/>
        <v>4.2291216141921856E-2</v>
      </c>
      <c r="AF52" s="1">
        <f t="shared" si="12"/>
        <v>8.9361007606173164</v>
      </c>
    </row>
    <row r="53" spans="8:32">
      <c r="H53" s="1">
        <f t="shared" si="13"/>
        <v>5.0999999999999979</v>
      </c>
      <c r="I53" s="1">
        <f t="shared" si="14"/>
        <v>9.8814434808202817E-2</v>
      </c>
      <c r="J53">
        <f t="shared" si="6"/>
        <v>2173989.0155091714</v>
      </c>
      <c r="K53" s="1">
        <f t="shared" si="7"/>
        <v>8.2050261145085237</v>
      </c>
      <c r="L53" s="1">
        <f t="shared" si="15"/>
        <v>8.2345362340169017E-5</v>
      </c>
      <c r="M53" s="1">
        <f t="shared" si="8"/>
        <v>6.4973649357155216E-4</v>
      </c>
      <c r="N53" s="1">
        <f t="shared" si="20"/>
        <v>5.7523649357155192E-4</v>
      </c>
      <c r="O53">
        <v>83000</v>
      </c>
      <c r="P53" s="1">
        <f t="shared" si="16"/>
        <v>0.10618601191284352</v>
      </c>
      <c r="Q53" s="1">
        <f t="shared" si="17"/>
        <v>3.5422930971877327E-2</v>
      </c>
      <c r="R53" s="1">
        <f t="shared" si="18"/>
        <v>6.816320039488541E-4</v>
      </c>
      <c r="S53" s="1">
        <f t="shared" si="0"/>
        <v>2.9940300245887314E-2</v>
      </c>
      <c r="T53" s="1">
        <f t="shared" si="9"/>
        <v>0.19567674276237793</v>
      </c>
      <c r="U53" s="1">
        <f t="shared" si="1"/>
        <v>0.29449117757058074</v>
      </c>
      <c r="V53" s="1">
        <f t="shared" si="19"/>
        <v>3.0145899999999999E-5</v>
      </c>
      <c r="W53" s="1">
        <f t="shared" si="2"/>
        <v>9768.8633469420638</v>
      </c>
      <c r="X53" s="1">
        <f t="shared" si="10"/>
        <v>3.3003822271881278</v>
      </c>
      <c r="Y53">
        <f t="shared" si="3"/>
        <v>356.00513808606291</v>
      </c>
      <c r="Z53">
        <v>2929</v>
      </c>
      <c r="AA53">
        <v>23.355</v>
      </c>
      <c r="AB53">
        <v>1.2706</v>
      </c>
      <c r="AC53" s="1">
        <f t="shared" si="4"/>
        <v>5566054.822104061</v>
      </c>
      <c r="AD53">
        <f t="shared" si="11"/>
        <v>211.29921472651296</v>
      </c>
      <c r="AE53" s="1">
        <f t="shared" si="5"/>
        <v>4.2163262321532356E-2</v>
      </c>
      <c r="AF53" s="1">
        <f t="shared" si="12"/>
        <v>8.9090642188477585</v>
      </c>
    </row>
    <row r="54" spans="8:32">
      <c r="H54" s="1">
        <f t="shared" si="13"/>
        <v>5.1999999999999975</v>
      </c>
      <c r="I54" s="1">
        <f t="shared" si="14"/>
        <v>9.8194154500983982E-2</v>
      </c>
      <c r="J54">
        <f t="shared" si="6"/>
        <v>2146781.4478357816</v>
      </c>
      <c r="K54" s="1">
        <f t="shared" si="7"/>
        <v>8.1535213305270684</v>
      </c>
      <c r="L54" s="1">
        <f t="shared" si="15"/>
        <v>8.182846208415332E-5</v>
      </c>
      <c r="M54" s="1">
        <f t="shared" si="8"/>
        <v>6.5797102980556907E-4</v>
      </c>
      <c r="N54" s="1">
        <f t="shared" si="20"/>
        <v>5.8347102980556883E-4</v>
      </c>
      <c r="O54">
        <v>83000</v>
      </c>
      <c r="P54" s="1">
        <f t="shared" si="16"/>
        <v>0.10625417511323841</v>
      </c>
      <c r="Q54" s="1">
        <f t="shared" si="17"/>
        <v>3.546842312800793E-2</v>
      </c>
      <c r="R54" s="1">
        <f t="shared" si="18"/>
        <v>6.7751085537187336E-4</v>
      </c>
      <c r="S54" s="1">
        <f t="shared" si="0"/>
        <v>2.9797499698263751E-2</v>
      </c>
      <c r="T54" s="1">
        <f t="shared" si="9"/>
        <v>0.19865649273220429</v>
      </c>
      <c r="U54" s="1">
        <f t="shared" si="1"/>
        <v>0.29685064723318827</v>
      </c>
      <c r="V54" s="1">
        <f>$B$21+(PI()*(P54^2)*$E$12)</f>
        <v>3.0145899999999999E-5</v>
      </c>
      <c r="W54" s="1">
        <f t="shared" si="2"/>
        <v>9847.1316906507454</v>
      </c>
      <c r="X54" s="1">
        <f t="shared" si="10"/>
        <v>3.295382347355325</v>
      </c>
      <c r="Y54">
        <f t="shared" si="3"/>
        <v>356.00513808606291</v>
      </c>
      <c r="Z54">
        <v>2929</v>
      </c>
      <c r="AA54">
        <v>23.355</v>
      </c>
      <c r="AB54">
        <v>1.2706</v>
      </c>
      <c r="AC54" s="1">
        <f t="shared" si="4"/>
        <v>5533066.9100869503</v>
      </c>
      <c r="AD54">
        <f t="shared" si="11"/>
        <v>211.29921472651296</v>
      </c>
      <c r="AE54" s="1">
        <f t="shared" si="5"/>
        <v>4.2038133755210393E-2</v>
      </c>
      <c r="AF54" s="1">
        <f t="shared" si="12"/>
        <v>8.8826246510440736</v>
      </c>
    </row>
    <row r="55" spans="8:32">
      <c r="H55" s="1">
        <f t="shared" si="13"/>
        <v>5.2999999999999972</v>
      </c>
      <c r="I55" s="1">
        <f t="shared" si="14"/>
        <v>9.7589196336131875E-2</v>
      </c>
      <c r="J55">
        <f t="shared" si="6"/>
        <v>2120410.9904035856</v>
      </c>
      <c r="K55" s="1">
        <f t="shared" si="7"/>
        <v>8.1032888159108492</v>
      </c>
      <c r="L55" s="1">
        <f t="shared" si="15"/>
        <v>8.1324330280109898E-5</v>
      </c>
      <c r="M55" s="1">
        <f t="shared" si="8"/>
        <v>6.6615387601398439E-4</v>
      </c>
      <c r="N55" s="1">
        <f t="shared" si="20"/>
        <v>5.9165387601398415E-4</v>
      </c>
      <c r="O55">
        <v>83000</v>
      </c>
      <c r="P55" s="1">
        <f t="shared" si="16"/>
        <v>0.1063219261987756</v>
      </c>
      <c r="Q55" s="1">
        <f t="shared" si="17"/>
        <v>3.551366916731831E-2</v>
      </c>
      <c r="R55" s="1">
        <f t="shared" si="18"/>
        <v>6.7348234008386177E-4</v>
      </c>
      <c r="S55" s="1">
        <f t="shared" si="0"/>
        <v>2.9658107979554336E-2</v>
      </c>
      <c r="T55" s="1">
        <f t="shared" si="9"/>
        <v>0.20162230353015972</v>
      </c>
      <c r="U55" s="1">
        <f t="shared" si="1"/>
        <v>0.29921149986629159</v>
      </c>
      <c r="V55" s="1">
        <f t="shared" si="19"/>
        <v>3.0145899999999999E-5</v>
      </c>
      <c r="W55" s="1">
        <f t="shared" si="2"/>
        <v>9925.4459102661258</v>
      </c>
      <c r="X55" s="1">
        <f t="shared" si="10"/>
        <v>3.2904727571768158</v>
      </c>
      <c r="Y55">
        <f t="shared" si="3"/>
        <v>356.00513808606291</v>
      </c>
      <c r="Z55">
        <v>2929</v>
      </c>
      <c r="AA55">
        <v>23.355</v>
      </c>
      <c r="AB55">
        <v>1.2706</v>
      </c>
      <c r="AC55" s="1">
        <f t="shared" si="4"/>
        <v>5500888.7361581251</v>
      </c>
      <c r="AD55">
        <f t="shared" si="11"/>
        <v>211.29921472651296</v>
      </c>
      <c r="AE55" s="1">
        <f t="shared" si="5"/>
        <v>4.1915716761957392E-2</v>
      </c>
      <c r="AF55" s="1">
        <f t="shared" si="12"/>
        <v>8.8567580365005334</v>
      </c>
    </row>
    <row r="56" spans="8:32">
      <c r="H56" s="1">
        <f t="shared" si="13"/>
        <v>5.3999999999999968</v>
      </c>
      <c r="I56" s="1">
        <f t="shared" si="14"/>
        <v>9.6998909161820329E-2</v>
      </c>
      <c r="J56">
        <f t="shared" si="6"/>
        <v>2094837.1352917776</v>
      </c>
      <c r="K56" s="1">
        <f t="shared" si="7"/>
        <v>8.0542745024688251</v>
      </c>
      <c r="L56" s="1">
        <f t="shared" si="15"/>
        <v>8.0832424301516937E-5</v>
      </c>
      <c r="M56" s="1">
        <f t="shared" si="8"/>
        <v>6.7428630904199541E-4</v>
      </c>
      <c r="N56" s="1">
        <f t="shared" si="20"/>
        <v>5.9978630904199517E-4</v>
      </c>
      <c r="O56">
        <v>83000</v>
      </c>
      <c r="P56" s="1">
        <f t="shared" si="16"/>
        <v>0.106389274432784</v>
      </c>
      <c r="Q56" s="1">
        <f t="shared" si="17"/>
        <v>3.5558674755702915E-2</v>
      </c>
      <c r="R56" s="1">
        <f t="shared" si="18"/>
        <v>6.6954270339909447E-4</v>
      </c>
      <c r="S56" s="1">
        <f t="shared" si="0"/>
        <v>2.9521983519275857E-2</v>
      </c>
      <c r="T56" s="1">
        <f t="shared" si="9"/>
        <v>0.20457450188208731</v>
      </c>
      <c r="U56" s="1">
        <f t="shared" si="1"/>
        <v>0.30157341104390767</v>
      </c>
      <c r="V56" s="1">
        <f t="shared" si="19"/>
        <v>3.0145899999999999E-5</v>
      </c>
      <c r="W56" s="1">
        <f t="shared" si="2"/>
        <v>10003.79524392729</v>
      </c>
      <c r="X56" s="1">
        <f t="shared" si="10"/>
        <v>3.2856501358889592</v>
      </c>
      <c r="Y56">
        <f t="shared" si="3"/>
        <v>356.00513808606291</v>
      </c>
      <c r="Z56">
        <v>2929</v>
      </c>
      <c r="AA56">
        <v>23.355</v>
      </c>
      <c r="AB56">
        <v>1.2706</v>
      </c>
      <c r="AC56" s="1">
        <f t="shared" si="4"/>
        <v>5469486.0310083395</v>
      </c>
      <c r="AD56">
        <f t="shared" si="11"/>
        <v>211.29921472651296</v>
      </c>
      <c r="AE56" s="1">
        <f t="shared" si="5"/>
        <v>4.1795904230825104E-2</v>
      </c>
      <c r="AF56" s="1">
        <f t="shared" si="12"/>
        <v>8.8314417427578853</v>
      </c>
    </row>
    <row r="57" spans="8:32">
      <c r="H57" s="1">
        <f t="shared" si="13"/>
        <v>5.4999999999999964</v>
      </c>
      <c r="I57" s="1">
        <f t="shared" si="14"/>
        <v>9.6422680685736561E-2</v>
      </c>
      <c r="J57">
        <f t="shared" si="6"/>
        <v>2070022.0239203568</v>
      </c>
      <c r="K57" s="1">
        <f t="shared" si="7"/>
        <v>8.006427548697669</v>
      </c>
      <c r="L57" s="1">
        <f t="shared" si="15"/>
        <v>8.0352233904780465E-5</v>
      </c>
      <c r="M57" s="1">
        <f t="shared" si="8"/>
        <v>6.8236955147214708E-4</v>
      </c>
      <c r="N57" s="1">
        <f t="shared" si="20"/>
        <v>6.0786955147214684E-4</v>
      </c>
      <c r="O57">
        <v>83000</v>
      </c>
      <c r="P57" s="1">
        <f t="shared" si="16"/>
        <v>0.10645622870312391</v>
      </c>
      <c r="Q57" s="1">
        <f t="shared" si="17"/>
        <v>3.5603445326697271E-2</v>
      </c>
      <c r="R57" s="1">
        <f t="shared" si="18"/>
        <v>6.6568840830045172E-4</v>
      </c>
      <c r="S57" s="1">
        <f t="shared" si="0"/>
        <v>2.9388993053431164E-2</v>
      </c>
      <c r="T57" s="1">
        <f t="shared" si="9"/>
        <v>0.20751340118743042</v>
      </c>
      <c r="U57" s="1">
        <f t="shared" si="1"/>
        <v>0.30393608187316701</v>
      </c>
      <c r="V57" s="1">
        <f t="shared" si="19"/>
        <v>3.0145899999999999E-5</v>
      </c>
      <c r="W57" s="1">
        <f t="shared" si="2"/>
        <v>10082.169776757935</v>
      </c>
      <c r="X57" s="1">
        <f t="shared" si="10"/>
        <v>3.2809113435915838</v>
      </c>
      <c r="Y57">
        <f t="shared" si="3"/>
        <v>356.00513808606291</v>
      </c>
      <c r="Z57">
        <v>2929</v>
      </c>
      <c r="AA57">
        <v>23.355</v>
      </c>
      <c r="AB57">
        <v>1.2706</v>
      </c>
      <c r="AC57" s="1">
        <f t="shared" si="4"/>
        <v>5438826.5643099705</v>
      </c>
      <c r="AD57">
        <f t="shared" si="11"/>
        <v>211.29921472651296</v>
      </c>
      <c r="AE57" s="1">
        <f t="shared" si="5"/>
        <v>4.167859512983442E-2</v>
      </c>
      <c r="AF57" s="1">
        <f t="shared" si="12"/>
        <v>8.8066544218382798</v>
      </c>
    </row>
    <row r="58" spans="8:32">
      <c r="H58" s="1">
        <f t="shared" si="13"/>
        <v>5.5999999999999961</v>
      </c>
      <c r="I58" s="1">
        <f t="shared" si="14"/>
        <v>9.5859934511318981E-2</v>
      </c>
      <c r="J58">
        <f t="shared" si="6"/>
        <v>2045930.2302494347</v>
      </c>
      <c r="K58" s="1">
        <f t="shared" si="7"/>
        <v>7.9597000936866875</v>
      </c>
      <c r="L58" s="1">
        <f t="shared" si="15"/>
        <v>7.9883278759432483E-5</v>
      </c>
      <c r="M58" s="1">
        <f t="shared" si="8"/>
        <v>6.9040477486262517E-4</v>
      </c>
      <c r="N58" s="1">
        <f t="shared" si="20"/>
        <v>6.1590477486262493E-4</v>
      </c>
      <c r="O58">
        <v>83000</v>
      </c>
      <c r="P58" s="1">
        <f t="shared" si="16"/>
        <v>0.10652279754395395</v>
      </c>
      <c r="Q58" s="1">
        <f t="shared" si="17"/>
        <v>3.5647986095029532E-2</v>
      </c>
      <c r="R58" s="1">
        <f t="shared" si="18"/>
        <v>6.6191611917360319E-4</v>
      </c>
      <c r="S58" s="1">
        <f t="shared" si="0"/>
        <v>2.9259010999346882E-2</v>
      </c>
      <c r="T58" s="1">
        <f t="shared" si="9"/>
        <v>0.2104393022873651</v>
      </c>
      <c r="U58" s="1">
        <f t="shared" si="1"/>
        <v>0.30629923679868409</v>
      </c>
      <c r="V58" s="1">
        <f t="shared" si="19"/>
        <v>3.0145899999999999E-5</v>
      </c>
      <c r="W58" s="1">
        <f t="shared" si="2"/>
        <v>10160.560368032937</v>
      </c>
      <c r="X58" s="1">
        <f t="shared" si="10"/>
        <v>3.2762534083417503</v>
      </c>
      <c r="Y58">
        <f t="shared" si="3"/>
        <v>356.00513808606291</v>
      </c>
      <c r="Z58">
        <v>2929</v>
      </c>
      <c r="AA58">
        <v>23.355</v>
      </c>
      <c r="AB58">
        <v>1.2706</v>
      </c>
      <c r="AC58" s="1">
        <f t="shared" si="4"/>
        <v>5408879.9895681506</v>
      </c>
      <c r="AD58">
        <f t="shared" si="11"/>
        <v>211.29921472651296</v>
      </c>
      <c r="AE58" s="1">
        <f t="shared" si="5"/>
        <v>4.1563694059638216E-2</v>
      </c>
      <c r="AF58" s="1">
        <f t="shared" si="12"/>
        <v>8.7823759159345869</v>
      </c>
    </row>
    <row r="59" spans="8:32">
      <c r="H59" s="1">
        <f t="shared" si="13"/>
        <v>5.6999999999999957</v>
      </c>
      <c r="I59" s="1">
        <f t="shared" si="14"/>
        <v>9.5310127447536933E-2</v>
      </c>
      <c r="J59">
        <f t="shared" si="6"/>
        <v>2022528.5651607485</v>
      </c>
      <c r="K59" s="1">
        <f t="shared" si="7"/>
        <v>7.9140470337361943</v>
      </c>
      <c r="L59" s="1">
        <f t="shared" si="15"/>
        <v>7.9425106206280782E-5</v>
      </c>
      <c r="M59" s="1">
        <f t="shared" si="8"/>
        <v>6.9839310273856836E-4</v>
      </c>
      <c r="N59" s="1">
        <f t="shared" si="20"/>
        <v>6.2389310273856813E-4</v>
      </c>
      <c r="O59">
        <v>83000</v>
      </c>
      <c r="P59" s="1">
        <f t="shared" si="16"/>
        <v>0.10658898915587131</v>
      </c>
      <c r="Q59" s="1">
        <f t="shared" si="17"/>
        <v>3.569230206915578E-2</v>
      </c>
      <c r="R59" s="1">
        <f t="shared" si="18"/>
        <v>6.5822268701922208E-4</v>
      </c>
      <c r="S59" s="1">
        <f t="shared" si="0"/>
        <v>2.9131918887588207E-2</v>
      </c>
      <c r="T59" s="1">
        <f t="shared" si="9"/>
        <v>0.21335249417612392</v>
      </c>
      <c r="U59" s="1">
        <f t="shared" si="1"/>
        <v>0.30866262162366087</v>
      </c>
      <c r="V59" s="1">
        <f t="shared" si="19"/>
        <v>3.0145899999999999E-5</v>
      </c>
      <c r="W59" s="1">
        <f t="shared" si="2"/>
        <v>10238.958585534381</v>
      </c>
      <c r="X59" s="1">
        <f t="shared" si="10"/>
        <v>3.2716735143782194</v>
      </c>
      <c r="Y59">
        <f t="shared" si="3"/>
        <v>356.00513808606291</v>
      </c>
      <c r="Z59">
        <v>2929</v>
      </c>
      <c r="AA59">
        <v>23.355</v>
      </c>
      <c r="AB59">
        <v>1.2706</v>
      </c>
      <c r="AC59" s="1">
        <f t="shared" si="4"/>
        <v>5379617.7032645522</v>
      </c>
      <c r="AD59">
        <f t="shared" si="11"/>
        <v>211.29921472651296</v>
      </c>
      <c r="AE59" s="1">
        <f t="shared" si="5"/>
        <v>4.1451110847144333E-2</v>
      </c>
      <c r="AF59" s="1">
        <f t="shared" si="12"/>
        <v>8.7585871715432404</v>
      </c>
    </row>
    <row r="60" spans="8:32">
      <c r="H60" s="1">
        <f t="shared" si="13"/>
        <v>5.7999999999999954</v>
      </c>
      <c r="I60" s="1">
        <f t="shared" si="14"/>
        <v>9.4772747062728133E-2</v>
      </c>
      <c r="J60">
        <f t="shared" si="6"/>
        <v>1999785.8996268448</v>
      </c>
      <c r="K60" s="1">
        <f t="shared" si="7"/>
        <v>7.869425819241175</v>
      </c>
      <c r="L60" s="1">
        <f t="shared" si="15"/>
        <v>7.8977289218940111E-5</v>
      </c>
      <c r="M60" s="1">
        <f t="shared" si="8"/>
        <v>7.0633561335919643E-4</v>
      </c>
      <c r="N60" s="1">
        <f t="shared" si="20"/>
        <v>6.3183561335919619E-4</v>
      </c>
      <c r="O60">
        <v>83000</v>
      </c>
      <c r="P60" s="1">
        <f t="shared" si="16"/>
        <v>0.10665481142457324</v>
      </c>
      <c r="Q60" s="1">
        <f t="shared" si="17"/>
        <v>3.5736398062871544E-2</v>
      </c>
      <c r="R60" s="1">
        <f t="shared" si="18"/>
        <v>6.5460513598590152E-4</v>
      </c>
      <c r="S60" s="1">
        <f t="shared" si="0"/>
        <v>2.9007604844854495E-2</v>
      </c>
      <c r="T60" s="1">
        <f t="shared" si="9"/>
        <v>0.21625325466060938</v>
      </c>
      <c r="U60" s="1">
        <f t="shared" si="1"/>
        <v>0.3110260017233375</v>
      </c>
      <c r="V60" s="1">
        <f t="shared" si="19"/>
        <v>3.0145899999999999E-5</v>
      </c>
      <c r="W60" s="1">
        <f t="shared" si="2"/>
        <v>10317.356646288135</v>
      </c>
      <c r="X60" s="1">
        <f t="shared" si="10"/>
        <v>3.2671689913598421</v>
      </c>
      <c r="Y60">
        <f t="shared" si="3"/>
        <v>356.00513808606291</v>
      </c>
      <c r="Z60">
        <v>2929</v>
      </c>
      <c r="AA60">
        <v>23.355</v>
      </c>
      <c r="AB60">
        <v>1.2706</v>
      </c>
      <c r="AC60" s="1">
        <f t="shared" si="4"/>
        <v>5351012.7167556277</v>
      </c>
      <c r="AD60">
        <f t="shared" si="11"/>
        <v>211.29921472651296</v>
      </c>
      <c r="AE60" s="1">
        <f t="shared" si="5"/>
        <v>4.1340760174898607E-2</v>
      </c>
      <c r="AF60" s="1">
        <f t="shared" si="12"/>
        <v>8.735270161153176</v>
      </c>
    </row>
    <row r="61" spans="8:32">
      <c r="H61" s="1">
        <f t="shared" si="13"/>
        <v>5.899999999999995</v>
      </c>
      <c r="I61" s="1">
        <f t="shared" si="14"/>
        <v>9.4247309456630443E-2</v>
      </c>
      <c r="J61">
        <f t="shared" si="6"/>
        <v>1977673.0045796365</v>
      </c>
      <c r="K61" s="1">
        <f t="shared" si="7"/>
        <v>7.8257962696926251</v>
      </c>
      <c r="L61" s="1">
        <f t="shared" si="15"/>
        <v>7.853942454719204E-5</v>
      </c>
      <c r="M61" s="1">
        <f t="shared" si="8"/>
        <v>7.142333422810904E-4</v>
      </c>
      <c r="N61" s="1">
        <f t="shared" si="20"/>
        <v>6.3973334228109016E-4</v>
      </c>
      <c r="O61">
        <v>83000</v>
      </c>
      <c r="P61" s="1">
        <f t="shared" si="16"/>
        <v>0.10672027193817182</v>
      </c>
      <c r="Q61" s="1">
        <f t="shared" si="17"/>
        <v>3.5780278706082226E-2</v>
      </c>
      <c r="R61" s="1">
        <f t="shared" si="18"/>
        <v>6.5106065108556715E-4</v>
      </c>
      <c r="S61" s="1">
        <f t="shared" si="0"/>
        <v>2.8885963122502138E-2</v>
      </c>
      <c r="T61" s="1">
        <f t="shared" si="9"/>
        <v>0.2191418509728596</v>
      </c>
      <c r="U61" s="1">
        <f t="shared" si="1"/>
        <v>0.31338916042949005</v>
      </c>
      <c r="V61" s="1">
        <f t="shared" si="19"/>
        <v>3.0145899999999999E-5</v>
      </c>
      <c r="W61" s="1">
        <f t="shared" si="2"/>
        <v>10395.747362974404</v>
      </c>
      <c r="X61" s="1">
        <f t="shared" si="10"/>
        <v>3.262737304514935</v>
      </c>
      <c r="Y61">
        <f t="shared" si="3"/>
        <v>356.00513808606291</v>
      </c>
      <c r="Z61">
        <v>2929</v>
      </c>
      <c r="AA61">
        <v>23.355</v>
      </c>
      <c r="AB61">
        <v>1.2706</v>
      </c>
      <c r="AC61" s="1">
        <f t="shared" si="4"/>
        <v>5323039.5395758515</v>
      </c>
      <c r="AD61">
        <f t="shared" si="11"/>
        <v>211.29921472651296</v>
      </c>
      <c r="AE61" s="1">
        <f t="shared" si="5"/>
        <v>4.1232561242533473E-2</v>
      </c>
      <c r="AF61" s="1">
        <f t="shared" si="12"/>
        <v>8.7124078117101771</v>
      </c>
    </row>
    <row r="62" spans="8:32">
      <c r="H62" s="1">
        <f t="shared" si="13"/>
        <v>5.9999999999999947</v>
      </c>
      <c r="I62" s="1">
        <f t="shared" si="14"/>
        <v>9.3733357227865813E-2</v>
      </c>
      <c r="J62">
        <f t="shared" si="6"/>
        <v>1956162.4056526618</v>
      </c>
      <c r="K62" s="1">
        <f t="shared" si="7"/>
        <v>7.7831204049082077</v>
      </c>
      <c r="L62" s="1">
        <f t="shared" si="15"/>
        <v>7.8111131023221513E-5</v>
      </c>
      <c r="M62" s="1">
        <f t="shared" si="8"/>
        <v>7.2208728473580964E-4</v>
      </c>
      <c r="N62" s="1">
        <f t="shared" si="20"/>
        <v>6.475872847358094E-4</v>
      </c>
      <c r="O62">
        <v>83000</v>
      </c>
      <c r="P62" s="1">
        <f t="shared" si="16"/>
        <v>0.10678537800328038</v>
      </c>
      <c r="Q62" s="1">
        <f t="shared" si="17"/>
        <v>3.582394845480661E-2</v>
      </c>
      <c r="R62" s="1">
        <f t="shared" si="18"/>
        <v>6.4758656696968183E-4</v>
      </c>
      <c r="S62" s="1">
        <f t="shared" si="0"/>
        <v>2.8766893665982344E-2</v>
      </c>
      <c r="T62" s="1">
        <f t="shared" si="9"/>
        <v>0.22201854033945784</v>
      </c>
      <c r="U62" s="1">
        <f t="shared" si="1"/>
        <v>0.31575189756732364</v>
      </c>
      <c r="V62" s="1">
        <f t="shared" si="19"/>
        <v>3.0145899999999999E-5</v>
      </c>
      <c r="W62" s="1">
        <f t="shared" si="2"/>
        <v>10474.124095393525</v>
      </c>
      <c r="X62" s="1">
        <f t="shared" si="10"/>
        <v>3.2583760456106572</v>
      </c>
      <c r="Y62">
        <f t="shared" si="3"/>
        <v>356.00513808606291</v>
      </c>
      <c r="Z62">
        <v>2929</v>
      </c>
      <c r="AA62">
        <v>23.355</v>
      </c>
      <c r="AB62">
        <v>1.2706</v>
      </c>
      <c r="AC62" s="1">
        <f t="shared" si="4"/>
        <v>5295674.0729590803</v>
      </c>
      <c r="AD62">
        <f t="shared" si="11"/>
        <v>211.29921472651296</v>
      </c>
      <c r="AE62" s="1">
        <f t="shared" si="5"/>
        <v>4.1126437457023372E-2</v>
      </c>
      <c r="AF62" s="1">
        <f t="shared" si="12"/>
        <v>8.6899839391680871</v>
      </c>
    </row>
    <row r="63" spans="8:32">
      <c r="H63" s="1">
        <f t="shared" si="13"/>
        <v>6.0999999999999943</v>
      </c>
      <c r="I63" s="1">
        <f t="shared" si="14"/>
        <v>9.3230457616836682E-2</v>
      </c>
      <c r="J63">
        <f t="shared" si="6"/>
        <v>1935228.2511973015</v>
      </c>
      <c r="K63" s="1">
        <f t="shared" si="7"/>
        <v>7.7413622908282225</v>
      </c>
      <c r="L63" s="1">
        <f t="shared" si="15"/>
        <v>7.7692048014030564E-5</v>
      </c>
      <c r="M63" s="1">
        <f t="shared" si="8"/>
        <v>7.2989839783813178E-4</v>
      </c>
      <c r="N63" s="1">
        <f t="shared" si="20"/>
        <v>6.5539839783813154E-4</v>
      </c>
      <c r="O63">
        <v>83000</v>
      </c>
      <c r="P63" s="1">
        <f t="shared" si="16"/>
        <v>0.10685013665997735</v>
      </c>
      <c r="Q63" s="1">
        <f t="shared" si="17"/>
        <v>3.5867411600479605E-2</v>
      </c>
      <c r="R63" s="1">
        <f t="shared" si="18"/>
        <v>6.4418035765885723E-4</v>
      </c>
      <c r="S63" s="1">
        <f t="shared" si="0"/>
        <v>2.8650301721037053E-2</v>
      </c>
      <c r="T63" s="1">
        <f t="shared" si="9"/>
        <v>0.22488357051156155</v>
      </c>
      <c r="U63" s="1">
        <f t="shared" si="1"/>
        <v>0.31811402812839823</v>
      </c>
      <c r="V63" s="1">
        <f t="shared" si="19"/>
        <v>3.0145899999999999E-5</v>
      </c>
      <c r="W63" s="1">
        <f t="shared" si="2"/>
        <v>10552.480706444267</v>
      </c>
      <c r="X63" s="1">
        <f t="shared" si="10"/>
        <v>3.2540829246618497</v>
      </c>
      <c r="Y63">
        <f t="shared" si="3"/>
        <v>356.00513808606291</v>
      </c>
      <c r="Z63">
        <v>2929</v>
      </c>
      <c r="AA63">
        <v>23.355</v>
      </c>
      <c r="AB63">
        <v>1.2706</v>
      </c>
      <c r="AC63" s="1">
        <f t="shared" si="4"/>
        <v>5268893.5125320368</v>
      </c>
      <c r="AD63">
        <f t="shared" si="11"/>
        <v>211.29921472651296</v>
      </c>
      <c r="AE63" s="1">
        <f t="shared" si="5"/>
        <v>4.1022316148867539E-2</v>
      </c>
      <c r="AF63" s="1">
        <f t="shared" si="12"/>
        <v>8.6679831885184626</v>
      </c>
    </row>
    <row r="64" spans="8:32">
      <c r="H64" s="1">
        <f t="shared" si="13"/>
        <v>6.199999999999994</v>
      </c>
      <c r="I64" s="1">
        <f t="shared" si="14"/>
        <v>9.2738200806335866E-2</v>
      </c>
      <c r="J64">
        <f t="shared" si="6"/>
        <v>1914846.1921679855</v>
      </c>
      <c r="K64" s="1">
        <f t="shared" si="7"/>
        <v>7.7004878984072818</v>
      </c>
      <c r="L64" s="1">
        <f t="shared" si="15"/>
        <v>7.7281834005279884E-5</v>
      </c>
      <c r="M64" s="1">
        <f t="shared" si="8"/>
        <v>7.3766760263953486E-4</v>
      </c>
      <c r="N64" s="1">
        <f t="shared" si="20"/>
        <v>6.6316760263953462E-4</v>
      </c>
      <c r="O64">
        <v>83000</v>
      </c>
      <c r="P64" s="1">
        <f t="shared" si="16"/>
        <v>0.10691455469574324</v>
      </c>
      <c r="Q64" s="1">
        <f t="shared" si="17"/>
        <v>3.5910672278614129E-2</v>
      </c>
      <c r="R64" s="1">
        <f t="shared" si="18"/>
        <v>6.4083962713088437E-4</v>
      </c>
      <c r="S64" s="1">
        <f t="shared" si="0"/>
        <v>2.8536097472977615E-2</v>
      </c>
      <c r="T64" s="1">
        <f t="shared" si="9"/>
        <v>0.22773718025885931</v>
      </c>
      <c r="U64" s="1">
        <f t="shared" si="1"/>
        <v>0.32047538106519519</v>
      </c>
      <c r="V64" s="1">
        <f t="shared" si="19"/>
        <v>3.0145899999999999E-5</v>
      </c>
      <c r="W64" s="1">
        <f t="shared" si="2"/>
        <v>10630.811522137179</v>
      </c>
      <c r="X64" s="1">
        <f t="shared" si="10"/>
        <v>3.2498557623078881</v>
      </c>
      <c r="Y64">
        <f t="shared" si="3"/>
        <v>356.00513808606291</v>
      </c>
      <c r="Z64">
        <v>2929</v>
      </c>
      <c r="AA64">
        <v>23.355</v>
      </c>
      <c r="AB64">
        <v>1.2706</v>
      </c>
      <c r="AC64" s="1">
        <f t="shared" si="4"/>
        <v>5242676.2592558786</v>
      </c>
      <c r="AD64">
        <f t="shared" si="11"/>
        <v>211.29921472651296</v>
      </c>
      <c r="AE64" s="1">
        <f t="shared" si="5"/>
        <v>4.0920128311649526E-2</v>
      </c>
      <c r="AF64" s="1">
        <f t="shared" si="12"/>
        <v>8.6463909787596958</v>
      </c>
    </row>
    <row r="65" spans="8:32">
      <c r="H65" s="1">
        <f t="shared" si="13"/>
        <v>6.2999999999999936</v>
      </c>
      <c r="I65" s="1">
        <f t="shared" si="14"/>
        <v>9.2256198364208286E-2</v>
      </c>
      <c r="J65">
        <f t="shared" si="6"/>
        <v>1894993.2726398336</v>
      </c>
      <c r="K65" s="1">
        <f t="shared" si="7"/>
        <v>7.6604649743012043</v>
      </c>
      <c r="L65" s="1">
        <f t="shared" si="15"/>
        <v>7.6880165303506908E-5</v>
      </c>
      <c r="M65" s="1">
        <f t="shared" si="8"/>
        <v>7.4539578604006283E-4</v>
      </c>
      <c r="N65" s="1">
        <f t="shared" si="20"/>
        <v>6.7089578604006259E-4</v>
      </c>
      <c r="O65">
        <v>83000</v>
      </c>
      <c r="P65" s="1">
        <f t="shared" si="16"/>
        <v>0.10697863865845632</v>
      </c>
      <c r="Q65" s="1">
        <f t="shared" si="17"/>
        <v>3.5953734476875797E-2</v>
      </c>
      <c r="R65" s="1">
        <f t="shared" si="18"/>
        <v>6.3756210068302923E-4</v>
      </c>
      <c r="S65" s="1">
        <f t="shared" si="0"/>
        <v>2.8424195715791214E-2</v>
      </c>
      <c r="T65" s="1">
        <f t="shared" si="9"/>
        <v>0.23057959983043844</v>
      </c>
      <c r="U65" s="1">
        <f t="shared" si="1"/>
        <v>0.32283579819464669</v>
      </c>
      <c r="V65" s="1">
        <f t="shared" si="19"/>
        <v>3.0145899999999999E-5</v>
      </c>
      <c r="W65" s="1">
        <f t="shared" si="2"/>
        <v>10709.111295222458</v>
      </c>
      <c r="X65" s="1">
        <f t="shared" si="10"/>
        <v>3.2456924827939764</v>
      </c>
      <c r="Y65">
        <f t="shared" si="3"/>
        <v>356.00513808606291</v>
      </c>
      <c r="Z65">
        <v>2929</v>
      </c>
      <c r="AA65">
        <v>23.355</v>
      </c>
      <c r="AB65">
        <v>1.2706</v>
      </c>
      <c r="AC65" s="1">
        <f t="shared" si="4"/>
        <v>5217001.8377981307</v>
      </c>
      <c r="AD65">
        <f t="shared" si="11"/>
        <v>211.29921472651296</v>
      </c>
      <c r="AE65" s="1">
        <f t="shared" si="5"/>
        <v>4.0819808362710652E-2</v>
      </c>
      <c r="AF65" s="1">
        <f t="shared" si="12"/>
        <v>8.6251934523275082</v>
      </c>
    </row>
    <row r="66" spans="8:32">
      <c r="H66" s="1">
        <f t="shared" si="13"/>
        <v>6.3999999999999932</v>
      </c>
      <c r="I66" s="1">
        <f t="shared" si="14"/>
        <v>9.1784081814175786E-2</v>
      </c>
      <c r="J66">
        <f t="shared" si="6"/>
        <v>1875647.8298680827</v>
      </c>
      <c r="K66" s="1">
        <f t="shared" si="7"/>
        <v>7.6212629221958892</v>
      </c>
      <c r="L66" s="1">
        <f t="shared" si="15"/>
        <v>7.6486734845146483E-5</v>
      </c>
      <c r="M66" s="1">
        <f t="shared" si="8"/>
        <v>7.5308380257041354E-4</v>
      </c>
      <c r="N66" s="1">
        <f t="shared" si="20"/>
        <v>6.785838025704133E-4</v>
      </c>
      <c r="O66">
        <v>83000</v>
      </c>
      <c r="P66" s="1">
        <f t="shared" si="16"/>
        <v>0.10704239486852463</v>
      </c>
      <c r="Q66" s="1">
        <f t="shared" si="17"/>
        <v>3.5996602042618647E-2</v>
      </c>
      <c r="R66" s="1">
        <f t="shared" si="18"/>
        <v>6.3434561699385371E-4</v>
      </c>
      <c r="S66" s="1">
        <f t="shared" si="0"/>
        <v>2.8314515548184854E-2</v>
      </c>
      <c r="T66" s="1">
        <f t="shared" si="9"/>
        <v>0.23341105138525692</v>
      </c>
      <c r="U66" s="1">
        <f t="shared" si="1"/>
        <v>0.32519513319943272</v>
      </c>
      <c r="V66" s="1">
        <f t="shared" si="19"/>
        <v>3.0145899999999999E-5</v>
      </c>
      <c r="W66" s="1">
        <f t="shared" si="2"/>
        <v>10787.375172060967</v>
      </c>
      <c r="X66" s="1">
        <f t="shared" si="10"/>
        <v>3.2415911075003274</v>
      </c>
      <c r="Y66">
        <f t="shared" si="3"/>
        <v>356.00513808606291</v>
      </c>
      <c r="Z66">
        <v>2929</v>
      </c>
      <c r="AA66">
        <v>23.355</v>
      </c>
      <c r="AB66">
        <v>1.2706</v>
      </c>
      <c r="AC66" s="1">
        <f t="shared" si="4"/>
        <v>5191850.821609579</v>
      </c>
      <c r="AD66">
        <f t="shared" si="11"/>
        <v>211.29921472651296</v>
      </c>
      <c r="AE66" s="1">
        <f t="shared" si="5"/>
        <v>4.0721293922924569E-2</v>
      </c>
      <c r="AF66" s="1">
        <f t="shared" si="12"/>
        <v>8.6043774285614862</v>
      </c>
    </row>
    <row r="67" spans="8:32">
      <c r="H67" s="1">
        <f t="shared" si="13"/>
        <v>6.4999999999999929</v>
      </c>
      <c r="I67" s="1">
        <f t="shared" si="14"/>
        <v>9.1321501322485302E-2</v>
      </c>
      <c r="J67">
        <f t="shared" si="6"/>
        <v>1856789.4029254115</v>
      </c>
      <c r="K67" s="1">
        <f t="shared" si="7"/>
        <v>7.5828526937535621</v>
      </c>
      <c r="L67" s="1">
        <f t="shared" ref="L67:L102" si="21">I67/$B$7</f>
        <v>7.6101251102071084E-5</v>
      </c>
      <c r="M67" s="1">
        <f t="shared" si="8"/>
        <v>7.6073247605492819E-4</v>
      </c>
      <c r="N67" s="1">
        <f t="shared" si="20"/>
        <v>6.8623247605492795E-4</v>
      </c>
      <c r="O67">
        <v>83000</v>
      </c>
      <c r="P67" s="1">
        <f t="shared" si="16"/>
        <v>0.10710582943022401</v>
      </c>
      <c r="Q67" s="1">
        <f t="shared" si="17"/>
        <v>3.6039278689925944E-2</v>
      </c>
      <c r="R67" s="1">
        <f t="shared" si="18"/>
        <v>6.31188120818076E-4</v>
      </c>
      <c r="S67" s="1">
        <f t="shared" ref="S67:S102" si="22">$B$20*R67*Q67</f>
        <v>2.8206980093997275E-2</v>
      </c>
      <c r="T67" s="1">
        <f t="shared" si="9"/>
        <v>0.23623174939465663</v>
      </c>
      <c r="U67" s="1">
        <f t="shared" ref="U67:U102" si="23">T67+I67</f>
        <v>0.32755325071714192</v>
      </c>
      <c r="V67" s="1">
        <f t="shared" ref="V67:V102" si="24">$B$21+(PI()*(P67^2)*$E$12)</f>
        <v>3.0145899999999999E-5</v>
      </c>
      <c r="W67" s="1">
        <f t="shared" ref="W67:W102" si="25">U67/V67</f>
        <v>10865.598662409877</v>
      </c>
      <c r="X67" s="1">
        <f t="shared" ref="X67:X102" si="26">I67/S67</f>
        <v>3.2375497489686755</v>
      </c>
      <c r="Y67">
        <f t="shared" ref="Y67:Y102" si="27">8314.5/AA67</f>
        <v>356.00513808606291</v>
      </c>
      <c r="Z67">
        <v>2929</v>
      </c>
      <c r="AA67">
        <v>23.355</v>
      </c>
      <c r="AB67">
        <v>1.2706</v>
      </c>
      <c r="AC67" s="1">
        <f t="shared" ref="AC67:AC102" si="28">((I67+S67)*$B$24)/$B$22</f>
        <v>5167204.7640616382</v>
      </c>
      <c r="AD67">
        <f t="shared" si="11"/>
        <v>211.29921472651296</v>
      </c>
      <c r="AE67" s="1">
        <f t="shared" ref="AE67:AE102" si="29" xml:space="preserve"> $B$26 * $B$22 * SQRT( (AB67 * $B$27) * (AC67) * ((2 / (AB67 + 1)) ^ ((AB67 + 1) / (AB67 - 1))) )</f>
        <v>4.0624525613780417E-2</v>
      </c>
      <c r="AF67" s="1">
        <f t="shared" si="12"/>
        <v>8.5839303608289139</v>
      </c>
    </row>
    <row r="68" spans="8:32">
      <c r="H68" s="1">
        <f t="shared" si="13"/>
        <v>6.5999999999999925</v>
      </c>
      <c r="I68" s="1">
        <f t="shared" ref="I68:I102" si="30">$B$3*$B$4*SQRT(2*$B$7*((J68-$B$9)))</f>
        <v>9.0868124489396684E-2</v>
      </c>
      <c r="J68">
        <f t="shared" ref="J68:J102" si="31">$B$8*($B$12 / M68)</f>
        <v>1838398.6490636035</v>
      </c>
      <c r="K68" s="1">
        <f t="shared" ref="K68:K102" si="32">$B$3*$B$4*SQRT(2*$B$7*((J68-$B$9)*6894.76))</f>
        <v>7.5452066882643267</v>
      </c>
      <c r="L68" s="1">
        <f t="shared" si="21"/>
        <v>7.5723437074497234E-5</v>
      </c>
      <c r="M68" s="1">
        <f t="shared" ref="M68:M102" si="33">M67 + (L67*$B$11)</f>
        <v>7.6834260116513534E-4</v>
      </c>
      <c r="N68" s="1">
        <f t="shared" ref="N68:N102" si="34">N67+(L67*$B$11)</f>
        <v>6.938426011651351E-4</v>
      </c>
      <c r="O68">
        <v>83000</v>
      </c>
      <c r="P68" s="1">
        <f t="shared" si="16"/>
        <v>0.10716894824230581</v>
      </c>
      <c r="Q68" s="1">
        <f t="shared" si="17"/>
        <v>3.6081768006195475E-2</v>
      </c>
      <c r="R68" s="1">
        <f t="shared" si="18"/>
        <v>6.2808765625520756E-4</v>
      </c>
      <c r="S68" s="1">
        <f t="shared" si="22"/>
        <v>2.8101516244688755E-2</v>
      </c>
      <c r="T68" s="1">
        <f t="shared" ref="T68:T102" si="35">T67 + (S68*$B$11)</f>
        <v>0.23904190101912551</v>
      </c>
      <c r="U68" s="1">
        <f t="shared" si="23"/>
        <v>0.32991002550852222</v>
      </c>
      <c r="V68" s="1">
        <f t="shared" si="24"/>
        <v>3.0145899999999999E-5</v>
      </c>
      <c r="W68" s="1">
        <f t="shared" si="25"/>
        <v>10943.777611831865</v>
      </c>
      <c r="X68" s="1">
        <f t="shared" si="26"/>
        <v>3.2335666053809802</v>
      </c>
      <c r="Y68">
        <f t="shared" si="27"/>
        <v>356.00513808606291</v>
      </c>
      <c r="Z68">
        <v>2929</v>
      </c>
      <c r="AA68">
        <v>23.355</v>
      </c>
      <c r="AB68">
        <v>1.2706</v>
      </c>
      <c r="AC68" s="1">
        <f t="shared" si="28"/>
        <v>5143046.1350703407</v>
      </c>
      <c r="AD68">
        <f t="shared" ref="AD68:AD102" si="36">SQRT(((2*AB67/AB67-1))*((Y67*Z67)/AA67))</f>
        <v>211.29921472651296</v>
      </c>
      <c r="AE68" s="1">
        <f t="shared" si="29"/>
        <v>4.0529446870174284E-2</v>
      </c>
      <c r="AF68" s="1">
        <f t="shared" ref="AF68:AF102" si="37">AD68*AE68</f>
        <v>8.5638402969677543</v>
      </c>
    </row>
    <row r="69" spans="8:32">
      <c r="H69" s="1">
        <f t="shared" si="13"/>
        <v>6.6999999999999922</v>
      </c>
      <c r="I69" s="1">
        <f t="shared" si="30"/>
        <v>9.0423635235714533E-2</v>
      </c>
      <c r="J69">
        <f t="shared" si="31"/>
        <v>1820457.2670422702</v>
      </c>
      <c r="K69" s="1">
        <f t="shared" si="32"/>
        <v>7.5082986601896904</v>
      </c>
      <c r="L69" s="1">
        <f t="shared" si="21"/>
        <v>7.5353029363095446E-5</v>
      </c>
      <c r="M69" s="1">
        <f t="shared" si="33"/>
        <v>7.7591494487258507E-4</v>
      </c>
      <c r="N69" s="1">
        <f t="shared" si="34"/>
        <v>7.0141494487258483E-4</v>
      </c>
      <c r="O69">
        <v>83000</v>
      </c>
      <c r="P69" s="1">
        <f t="shared" si="16"/>
        <v>0.10723175700793133</v>
      </c>
      <c r="Q69" s="1">
        <f t="shared" si="17"/>
        <v>3.6124073458305227E-2</v>
      </c>
      <c r="R69" s="1">
        <f t="shared" si="18"/>
        <v>6.250423605390522E-4</v>
      </c>
      <c r="S69" s="1">
        <f t="shared" si="22"/>
        <v>2.7998054421864878E-2</v>
      </c>
      <c r="T69" s="1">
        <f t="shared" si="35"/>
        <v>0.24184170646131201</v>
      </c>
      <c r="U69" s="1">
        <f t="shared" si="23"/>
        <v>0.33226534169702654</v>
      </c>
      <c r="V69" s="1">
        <f t="shared" si="24"/>
        <v>3.0145899999999999E-5</v>
      </c>
      <c r="W69" s="1">
        <f t="shared" si="25"/>
        <v>11021.908176469322</v>
      </c>
      <c r="X69" s="1">
        <f t="shared" si="26"/>
        <v>3.2296399554498634</v>
      </c>
      <c r="Y69">
        <f t="shared" si="27"/>
        <v>356.00513808606291</v>
      </c>
      <c r="Z69">
        <v>2929</v>
      </c>
      <c r="AA69">
        <v>23.355</v>
      </c>
      <c r="AB69">
        <v>1.2706</v>
      </c>
      <c r="AC69" s="1">
        <f t="shared" si="28"/>
        <v>5119358.2626951439</v>
      </c>
      <c r="AD69">
        <f t="shared" si="36"/>
        <v>211.29921472651296</v>
      </c>
      <c r="AE69" s="1">
        <f t="shared" si="29"/>
        <v>4.0436003767478468E-2</v>
      </c>
      <c r="AF69" s="1">
        <f t="shared" si="37"/>
        <v>8.5440958427465201</v>
      </c>
    </row>
    <row r="70" spans="8:32">
      <c r="H70" s="1">
        <f t="shared" ref="H70:H108" si="38">H69+$B$11</f>
        <v>6.7999999999999918</v>
      </c>
      <c r="I70" s="1">
        <f t="shared" si="30"/>
        <v>8.9987732775613491E-2</v>
      </c>
      <c r="J70">
        <f t="shared" si="31"/>
        <v>1802947.9267515056</v>
      </c>
      <c r="K70" s="1">
        <f t="shared" si="32"/>
        <v>7.4721036338714244</v>
      </c>
      <c r="L70" s="1">
        <f t="shared" si="21"/>
        <v>7.4989777313011236E-5</v>
      </c>
      <c r="M70" s="1">
        <f t="shared" si="33"/>
        <v>7.834502478088946E-4</v>
      </c>
      <c r="N70" s="1">
        <f t="shared" si="34"/>
        <v>7.0895024780889436E-4</v>
      </c>
      <c r="O70">
        <v>83000</v>
      </c>
      <c r="P70" s="1">
        <f t="shared" ref="P70:P102" si="39">P69 + (R69 * $B$11)</f>
        <v>0.10729426124398524</v>
      </c>
      <c r="Q70" s="1">
        <f t="shared" ref="Q70:Q102" si="40">PI()*(P70^2)</f>
        <v>3.616619839839201E-2</v>
      </c>
      <c r="R70" s="1">
        <f t="shared" ref="R70:R102" si="41">$B$18 *((I70/Q70)^$B$19)</f>
        <v>6.2205045830072774E-4</v>
      </c>
      <c r="S70" s="1">
        <f t="shared" si="22"/>
        <v>2.7896528358006347E-2</v>
      </c>
      <c r="T70" s="1">
        <f t="shared" si="35"/>
        <v>0.24463135929711263</v>
      </c>
      <c r="U70" s="1">
        <f t="shared" si="23"/>
        <v>0.33461909207272611</v>
      </c>
      <c r="V70" s="1">
        <f t="shared" si="24"/>
        <v>3.0145899999999999E-5</v>
      </c>
      <c r="W70" s="1">
        <f t="shared" si="25"/>
        <v>11099.986799953762</v>
      </c>
      <c r="X70" s="1">
        <f t="shared" si="26"/>
        <v>3.225768153684502</v>
      </c>
      <c r="Y70">
        <f t="shared" si="27"/>
        <v>356.00513808606291</v>
      </c>
      <c r="Z70">
        <v>2929</v>
      </c>
      <c r="AA70">
        <v>23.355</v>
      </c>
      <c r="AB70">
        <v>1.2706</v>
      </c>
      <c r="AC70" s="1">
        <f t="shared" si="28"/>
        <v>5096125.2792552365</v>
      </c>
      <c r="AD70">
        <f t="shared" si="36"/>
        <v>211.29921472651296</v>
      </c>
      <c r="AE70" s="1">
        <f t="shared" si="29"/>
        <v>4.0344144861607041E-2</v>
      </c>
      <c r="AF70" s="1">
        <f t="shared" si="37"/>
        <v>8.5246861280702504</v>
      </c>
    </row>
    <row r="71" spans="8:32">
      <c r="H71" s="1">
        <f t="shared" si="38"/>
        <v>6.8999999999999915</v>
      </c>
      <c r="I71" s="1">
        <f t="shared" si="30"/>
        <v>8.9560130667926313E-2</v>
      </c>
      <c r="J71">
        <f t="shared" si="31"/>
        <v>1785854.2045291075</v>
      </c>
      <c r="K71" s="1">
        <f t="shared" si="32"/>
        <v>7.436597824755558</v>
      </c>
      <c r="L71" s="1">
        <f t="shared" si="21"/>
        <v>7.4633442223271933E-5</v>
      </c>
      <c r="M71" s="1">
        <f t="shared" si="33"/>
        <v>7.9094922554019567E-4</v>
      </c>
      <c r="N71" s="1">
        <f t="shared" si="34"/>
        <v>7.1644922554019543E-4</v>
      </c>
      <c r="O71">
        <v>83000</v>
      </c>
      <c r="P71" s="1">
        <f t="shared" si="39"/>
        <v>0.10735646628981531</v>
      </c>
      <c r="Q71" s="1">
        <f t="shared" si="40"/>
        <v>3.6208146069272668E-2</v>
      </c>
      <c r="R71" s="1">
        <f t="shared" si="41"/>
        <v>6.191102562628063E-4</v>
      </c>
      <c r="S71" s="1">
        <f t="shared" si="22"/>
        <v>2.779687489376817E-2</v>
      </c>
      <c r="T71" s="1">
        <f t="shared" si="35"/>
        <v>0.24741104678648945</v>
      </c>
      <c r="U71" s="1">
        <f t="shared" si="23"/>
        <v>0.33697117745441574</v>
      </c>
      <c r="V71" s="1">
        <f t="shared" si="24"/>
        <v>3.0145899999999999E-5</v>
      </c>
      <c r="W71" s="1">
        <f t="shared" si="25"/>
        <v>11178.010192245571</v>
      </c>
      <c r="X71" s="1">
        <f t="shared" si="26"/>
        <v>3.2219496259993226</v>
      </c>
      <c r="Y71">
        <f t="shared" si="27"/>
        <v>356.00513808606291</v>
      </c>
      <c r="Z71">
        <v>2929</v>
      </c>
      <c r="AA71">
        <v>23.355</v>
      </c>
      <c r="AB71">
        <v>1.2706</v>
      </c>
      <c r="AC71" s="1">
        <f t="shared" si="28"/>
        <v>5073332.0715540713</v>
      </c>
      <c r="AD71">
        <f t="shared" si="36"/>
        <v>211.29921472651296</v>
      </c>
      <c r="AE71" s="1">
        <f t="shared" si="29"/>
        <v>4.0253821040928166E-2</v>
      </c>
      <c r="AF71" s="1">
        <f t="shared" si="37"/>
        <v>8.5056007756897056</v>
      </c>
    </row>
    <row r="72" spans="8:32">
      <c r="H72" s="1">
        <f t="shared" si="38"/>
        <v>6.9999999999999911</v>
      </c>
      <c r="I72" s="1">
        <f t="shared" si="30"/>
        <v>8.9140555938874752E-2</v>
      </c>
      <c r="J72">
        <f t="shared" si="31"/>
        <v>1769160.5236377169</v>
      </c>
      <c r="K72" s="1">
        <f t="shared" si="32"/>
        <v>7.401758566548617</v>
      </c>
      <c r="L72" s="1">
        <f t="shared" si="21"/>
        <v>7.4283796615728955E-5</v>
      </c>
      <c r="M72" s="1">
        <f t="shared" si="33"/>
        <v>7.9841256976252283E-4</v>
      </c>
      <c r="N72" s="1">
        <f t="shared" si="34"/>
        <v>7.2391256976252259E-4</v>
      </c>
      <c r="O72">
        <v>83000</v>
      </c>
      <c r="P72" s="1">
        <f t="shared" si="39"/>
        <v>0.10741837731544158</v>
      </c>
      <c r="Q72" s="1">
        <f t="shared" si="40"/>
        <v>3.6249919609534775E-2</v>
      </c>
      <c r="R72" s="1">
        <f t="shared" si="41"/>
        <v>6.1622013832649761E-4</v>
      </c>
      <c r="S72" s="1">
        <f t="shared" si="22"/>
        <v>2.7699033790378802E-2</v>
      </c>
      <c r="T72" s="1">
        <f t="shared" si="35"/>
        <v>0.25018095016552733</v>
      </c>
      <c r="U72" s="1">
        <f t="shared" si="23"/>
        <v>0.33932150610440209</v>
      </c>
      <c r="V72" s="1">
        <f t="shared" si="24"/>
        <v>3.0145899999999999E-5</v>
      </c>
      <c r="W72" s="1">
        <f t="shared" si="25"/>
        <v>11255.97531022136</v>
      </c>
      <c r="X72" s="1">
        <f t="shared" si="26"/>
        <v>3.2181828656361842</v>
      </c>
      <c r="Y72">
        <f t="shared" si="27"/>
        <v>356.00513808606291</v>
      </c>
      <c r="Z72">
        <v>2929</v>
      </c>
      <c r="AA72">
        <v>23.355</v>
      </c>
      <c r="AB72">
        <v>1.2706</v>
      </c>
      <c r="AC72" s="1">
        <f t="shared" si="28"/>
        <v>5050964.2348451456</v>
      </c>
      <c r="AD72">
        <f t="shared" si="36"/>
        <v>211.29921472651296</v>
      </c>
      <c r="AE72" s="1">
        <f t="shared" si="29"/>
        <v>4.0164985388990236E-2</v>
      </c>
      <c r="AF72" s="1">
        <f t="shared" si="37"/>
        <v>8.4868298721955036</v>
      </c>
    </row>
    <row r="73" spans="8:32">
      <c r="H73" s="1">
        <f t="shared" si="38"/>
        <v>7.0999999999999908</v>
      </c>
      <c r="I73" s="1">
        <f t="shared" si="30"/>
        <v>8.8728748269941857E-2</v>
      </c>
      <c r="J73">
        <f t="shared" si="31"/>
        <v>1752852.0994241789</v>
      </c>
      <c r="K73" s="1">
        <f t="shared" si="32"/>
        <v>7.3675642437828426</v>
      </c>
      <c r="L73" s="1">
        <f t="shared" si="21"/>
        <v>7.3940623558284882E-5</v>
      </c>
      <c r="M73" s="1">
        <f t="shared" si="33"/>
        <v>8.0584094942409571E-4</v>
      </c>
      <c r="N73" s="1">
        <f t="shared" si="34"/>
        <v>7.3134094942409547E-4</v>
      </c>
      <c r="O73">
        <v>83000</v>
      </c>
      <c r="P73" s="1">
        <f t="shared" si="39"/>
        <v>0.10747999932927424</v>
      </c>
      <c r="Q73" s="1">
        <f t="shared" si="40"/>
        <v>3.6291522058321334E-2</v>
      </c>
      <c r="R73" s="1">
        <f t="shared" si="41"/>
        <v>6.1337856101766812E-4</v>
      </c>
      <c r="S73" s="1">
        <f t="shared" si="22"/>
        <v>2.7602947555819886E-2</v>
      </c>
      <c r="T73" s="1">
        <f t="shared" si="35"/>
        <v>0.25294124492110931</v>
      </c>
      <c r="U73" s="1">
        <f t="shared" si="23"/>
        <v>0.34166999319105118</v>
      </c>
      <c r="V73" s="1">
        <f t="shared" si="24"/>
        <v>3.0145899999999999E-5</v>
      </c>
      <c r="W73" s="1">
        <f t="shared" si="25"/>
        <v>11333.879339845591</v>
      </c>
      <c r="X73" s="1">
        <f t="shared" si="26"/>
        <v>3.2144664293735552</v>
      </c>
      <c r="Y73">
        <f t="shared" si="27"/>
        <v>356.00513808606291</v>
      </c>
      <c r="Z73">
        <v>2929</v>
      </c>
      <c r="AA73">
        <v>23.355</v>
      </c>
      <c r="AB73">
        <v>1.2706</v>
      </c>
      <c r="AC73" s="1">
        <f t="shared" si="28"/>
        <v>5029008.0302095627</v>
      </c>
      <c r="AD73">
        <f t="shared" si="36"/>
        <v>211.29921472651296</v>
      </c>
      <c r="AE73" s="1">
        <f t="shared" si="29"/>
        <v>4.0077593057131822E-2</v>
      </c>
      <c r="AF73" s="1">
        <f t="shared" si="37"/>
        <v>8.4683639411007015</v>
      </c>
    </row>
    <row r="74" spans="8:32">
      <c r="H74" s="1">
        <f t="shared" si="38"/>
        <v>7.1999999999999904</v>
      </c>
      <c r="I74" s="1">
        <f t="shared" si="30"/>
        <v>8.8324459245217923E-2</v>
      </c>
      <c r="J74">
        <f t="shared" si="31"/>
        <v>1736914.8887336063</v>
      </c>
      <c r="K74" s="1">
        <f t="shared" si="32"/>
        <v>7.3339942293197975</v>
      </c>
      <c r="L74" s="1">
        <f t="shared" si="21"/>
        <v>7.3603716037681601E-5</v>
      </c>
      <c r="M74" s="1">
        <f t="shared" si="33"/>
        <v>8.1323501177992419E-4</v>
      </c>
      <c r="N74" s="1">
        <f t="shared" si="34"/>
        <v>7.3873501177992395E-4</v>
      </c>
      <c r="O74">
        <v>83000</v>
      </c>
      <c r="P74" s="1">
        <f t="shared" si="39"/>
        <v>0.10754133718537601</v>
      </c>
      <c r="Q74" s="1">
        <f t="shared" si="40"/>
        <v>3.6332956359831935E-2</v>
      </c>
      <c r="R74" s="1">
        <f t="shared" si="41"/>
        <v>6.1058404926088081E-4</v>
      </c>
      <c r="S74" s="1">
        <f t="shared" si="22"/>
        <v>2.7508561283598267E-2</v>
      </c>
      <c r="T74" s="1">
        <f t="shared" si="35"/>
        <v>0.25569210104946916</v>
      </c>
      <c r="U74" s="1">
        <f t="shared" si="23"/>
        <v>0.34401656029468708</v>
      </c>
      <c r="V74" s="1">
        <f t="shared" si="24"/>
        <v>3.0145899999999999E-5</v>
      </c>
      <c r="W74" s="1">
        <f t="shared" si="25"/>
        <v>11411.719679780239</v>
      </c>
      <c r="X74" s="1">
        <f t="shared" si="26"/>
        <v>3.2107989339987979</v>
      </c>
      <c r="Y74">
        <f t="shared" si="27"/>
        <v>356.00513808606291</v>
      </c>
      <c r="Z74">
        <v>2929</v>
      </c>
      <c r="AA74">
        <v>23.355</v>
      </c>
      <c r="AB74">
        <v>1.2706</v>
      </c>
      <c r="AC74" s="1">
        <f t="shared" si="28"/>
        <v>5007450.3450489994</v>
      </c>
      <c r="AD74">
        <f t="shared" si="36"/>
        <v>211.29921472651296</v>
      </c>
      <c r="AE74" s="1">
        <f t="shared" si="29"/>
        <v>3.9991601146137583E-2</v>
      </c>
      <c r="AF74" s="1">
        <f t="shared" si="37"/>
        <v>8.4501939178347865</v>
      </c>
    </row>
    <row r="75" spans="8:32">
      <c r="H75" s="1">
        <f t="shared" si="38"/>
        <v>7.2999999999999901</v>
      </c>
      <c r="I75" s="1">
        <f t="shared" si="30"/>
        <v>8.792745165311662E-2</v>
      </c>
      <c r="J75">
        <f t="shared" si="31"/>
        <v>1721335.5431949056</v>
      </c>
      <c r="K75" s="1">
        <f t="shared" si="32"/>
        <v>7.3010288263685776</v>
      </c>
      <c r="L75" s="1">
        <f t="shared" si="21"/>
        <v>7.3272876377597187E-5</v>
      </c>
      <c r="M75" s="1">
        <f t="shared" si="33"/>
        <v>8.2059538338369233E-4</v>
      </c>
      <c r="N75" s="1">
        <f t="shared" si="34"/>
        <v>7.4609538338369209E-4</v>
      </c>
      <c r="O75">
        <v>83000</v>
      </c>
      <c r="P75" s="1">
        <f t="shared" si="39"/>
        <v>0.10760239559030209</v>
      </c>
      <c r="Q75" s="1">
        <f t="shared" si="40"/>
        <v>3.6374225367560901E-2</v>
      </c>
      <c r="R75" s="1">
        <f t="shared" si="41"/>
        <v>6.0783519245368096E-4</v>
      </c>
      <c r="S75" s="1">
        <f t="shared" si="22"/>
        <v>2.7415822503039731E-2</v>
      </c>
      <c r="T75" s="1">
        <f t="shared" si="35"/>
        <v>0.25843368329977312</v>
      </c>
      <c r="U75" s="1">
        <f t="shared" si="23"/>
        <v>0.34636113495288973</v>
      </c>
      <c r="V75" s="1">
        <f t="shared" si="24"/>
        <v>3.0145899999999999E-5</v>
      </c>
      <c r="W75" s="1">
        <f t="shared" si="25"/>
        <v>11489.493926301413</v>
      </c>
      <c r="X75" s="1">
        <f t="shared" si="26"/>
        <v>3.2071790530219424</v>
      </c>
      <c r="Y75">
        <f t="shared" si="27"/>
        <v>356.00513808606291</v>
      </c>
      <c r="Z75">
        <v>2929</v>
      </c>
      <c r="AA75">
        <v>23.355</v>
      </c>
      <c r="AB75">
        <v>1.2706</v>
      </c>
      <c r="AC75" s="1">
        <f t="shared" si="28"/>
        <v>4986278.6564271701</v>
      </c>
      <c r="AD75">
        <f t="shared" si="36"/>
        <v>211.29921472651296</v>
      </c>
      <c r="AE75" s="1">
        <f t="shared" si="29"/>
        <v>3.9906968596183361E-2</v>
      </c>
      <c r="AF75" s="1">
        <f t="shared" si="37"/>
        <v>8.4323111264891573</v>
      </c>
    </row>
    <row r="76" spans="8:32">
      <c r="H76" s="1">
        <f t="shared" si="38"/>
        <v>7.3999999999999897</v>
      </c>
      <c r="I76" s="1">
        <f t="shared" si="30"/>
        <v>8.7537498837857886E-2</v>
      </c>
      <c r="J76">
        <f t="shared" si="31"/>
        <v>1706101.3660337375</v>
      </c>
      <c r="K76" s="1">
        <f t="shared" si="32"/>
        <v>7.2686492146364028</v>
      </c>
      <c r="L76" s="1">
        <f t="shared" si="21"/>
        <v>7.2947915698214904E-5</v>
      </c>
      <c r="M76" s="1">
        <f t="shared" si="33"/>
        <v>8.2792267102145209E-4</v>
      </c>
      <c r="N76" s="1">
        <f t="shared" si="34"/>
        <v>7.5342267102145185E-4</v>
      </c>
      <c r="O76">
        <v>83000</v>
      </c>
      <c r="P76" s="1">
        <f t="shared" si="39"/>
        <v>0.10766317910954745</v>
      </c>
      <c r="Q76" s="1">
        <f t="shared" si="40"/>
        <v>3.6415331848291065E-2</v>
      </c>
      <c r="R76" s="1">
        <f t="shared" si="41"/>
        <v>6.0513064081604351E-4</v>
      </c>
      <c r="S76" s="1">
        <f t="shared" si="22"/>
        <v>2.7324681040137713E-2</v>
      </c>
      <c r="T76" s="1">
        <f t="shared" si="35"/>
        <v>0.26116615140378691</v>
      </c>
      <c r="U76" s="1">
        <f t="shared" si="23"/>
        <v>0.34870365024164479</v>
      </c>
      <c r="V76" s="1">
        <f t="shared" si="24"/>
        <v>3.0145899999999999E-5</v>
      </c>
      <c r="W76" s="1">
        <f t="shared" si="25"/>
        <v>11567.199859405253</v>
      </c>
      <c r="X76" s="1">
        <f t="shared" si="26"/>
        <v>3.2036055136113935</v>
      </c>
      <c r="Y76">
        <f t="shared" si="27"/>
        <v>356.00513808606291</v>
      </c>
      <c r="Z76">
        <v>2929</v>
      </c>
      <c r="AA76">
        <v>23.355</v>
      </c>
      <c r="AB76">
        <v>1.2706</v>
      </c>
      <c r="AC76" s="1">
        <f t="shared" si="28"/>
        <v>4965480.9970190069</v>
      </c>
      <c r="AD76">
        <f t="shared" si="36"/>
        <v>211.29921472651296</v>
      </c>
      <c r="AE76" s="1">
        <f t="shared" si="29"/>
        <v>3.9823656084386566E-2</v>
      </c>
      <c r="AF76" s="1">
        <f t="shared" si="37"/>
        <v>8.4147072581696012</v>
      </c>
    </row>
    <row r="77" spans="8:32">
      <c r="H77" s="1">
        <f t="shared" si="38"/>
        <v>7.4999999999999893</v>
      </c>
      <c r="I77" s="1">
        <f t="shared" si="30"/>
        <v>8.7154384096559831E-2</v>
      </c>
      <c r="J77">
        <f t="shared" si="31"/>
        <v>1691200.2721035518</v>
      </c>
      <c r="K77" s="1">
        <f t="shared" si="32"/>
        <v>7.2368374002663147</v>
      </c>
      <c r="L77" s="1">
        <f t="shared" si="21"/>
        <v>7.2628653413799857E-5</v>
      </c>
      <c r="M77" s="1">
        <f t="shared" si="33"/>
        <v>8.3521746259127352E-4</v>
      </c>
      <c r="N77" s="1">
        <f t="shared" si="34"/>
        <v>7.6071746259127329E-4</v>
      </c>
      <c r="O77">
        <v>83000</v>
      </c>
      <c r="P77" s="1">
        <f t="shared" si="39"/>
        <v>0.10772369217362905</v>
      </c>
      <c r="Q77" s="1">
        <f t="shared" si="40"/>
        <v>3.6456278485860361E-2</v>
      </c>
      <c r="R77" s="1">
        <f t="shared" si="41"/>
        <v>6.0246910199229591E-4</v>
      </c>
      <c r="S77" s="1">
        <f t="shared" si="22"/>
        <v>2.7235088888083112E-2</v>
      </c>
      <c r="T77" s="1">
        <f t="shared" si="35"/>
        <v>0.2638896602925952</v>
      </c>
      <c r="U77" s="1">
        <f t="shared" si="23"/>
        <v>0.35104404438915504</v>
      </c>
      <c r="V77" s="1">
        <f t="shared" si="24"/>
        <v>3.0145899999999999E-5</v>
      </c>
      <c r="W77" s="1">
        <f t="shared" si="25"/>
        <v>11644.835429997282</v>
      </c>
      <c r="X77" s="1">
        <f t="shared" si="26"/>
        <v>3.200077093733841</v>
      </c>
      <c r="Y77">
        <f t="shared" si="27"/>
        <v>356.00513808606291</v>
      </c>
      <c r="Z77">
        <v>2929</v>
      </c>
      <c r="AA77">
        <v>23.355</v>
      </c>
      <c r="AB77">
        <v>1.2706</v>
      </c>
      <c r="AC77" s="1">
        <f t="shared" si="28"/>
        <v>4945045.9234500071</v>
      </c>
      <c r="AD77">
        <f t="shared" si="36"/>
        <v>211.29921472651296</v>
      </c>
      <c r="AE77" s="1">
        <f t="shared" si="29"/>
        <v>3.9741625929342377E-2</v>
      </c>
      <c r="AF77" s="1">
        <f t="shared" si="37"/>
        <v>8.3973743508248706</v>
      </c>
    </row>
    <row r="78" spans="8:32">
      <c r="H78" s="1">
        <f t="shared" si="38"/>
        <v>7.599999999999989</v>
      </c>
      <c r="I78" s="1">
        <f t="shared" si="30"/>
        <v>8.6777900118178875E-2</v>
      </c>
      <c r="J78">
        <f t="shared" si="31"/>
        <v>1676620.7508561723</v>
      </c>
      <c r="K78" s="1">
        <f t="shared" si="32"/>
        <v>7.2055761692497562</v>
      </c>
      <c r="L78" s="1">
        <f t="shared" si="21"/>
        <v>7.2314916765149064E-5</v>
      </c>
      <c r="M78" s="1">
        <f t="shared" si="33"/>
        <v>8.4248032793265352E-4</v>
      </c>
      <c r="N78" s="1">
        <f t="shared" si="34"/>
        <v>7.6798032793265328E-4</v>
      </c>
      <c r="O78">
        <v>83000</v>
      </c>
      <c r="P78" s="1">
        <f t="shared" si="39"/>
        <v>0.10778393908382829</v>
      </c>
      <c r="Q78" s="1">
        <f t="shared" si="40"/>
        <v>3.6497067884717176E-2</v>
      </c>
      <c r="R78" s="1">
        <f t="shared" si="41"/>
        <v>5.9984933788497874E-4</v>
      </c>
      <c r="S78" s="1">
        <f t="shared" si="22"/>
        <v>2.7147000086684494E-2</v>
      </c>
      <c r="T78" s="1">
        <f t="shared" si="35"/>
        <v>0.26660436030126367</v>
      </c>
      <c r="U78" s="1">
        <f t="shared" si="23"/>
        <v>0.35338226041944254</v>
      </c>
      <c r="V78" s="1">
        <f t="shared" si="24"/>
        <v>3.0145899999999999E-5</v>
      </c>
      <c r="W78" s="1">
        <f t="shared" si="25"/>
        <v>11722.398748069971</v>
      </c>
      <c r="X78" s="1">
        <f t="shared" si="26"/>
        <v>3.1965926194822214</v>
      </c>
      <c r="Y78">
        <f t="shared" si="27"/>
        <v>356.00513808606291</v>
      </c>
      <c r="Z78">
        <v>2929</v>
      </c>
      <c r="AA78">
        <v>23.355</v>
      </c>
      <c r="AB78">
        <v>1.2706</v>
      </c>
      <c r="AC78" s="1">
        <f t="shared" si="28"/>
        <v>4924962.4868290229</v>
      </c>
      <c r="AD78">
        <f t="shared" si="36"/>
        <v>211.29921472651296</v>
      </c>
      <c r="AE78" s="1">
        <f t="shared" si="29"/>
        <v>3.9660842002084737E-2</v>
      </c>
      <c r="AF78" s="1">
        <f t="shared" si="37"/>
        <v>8.3803047704328062</v>
      </c>
    </row>
    <row r="79" spans="8:32">
      <c r="H79" s="1">
        <f t="shared" si="38"/>
        <v>7.6999999999999886</v>
      </c>
      <c r="I79" s="1">
        <f t="shared" si="30"/>
        <v>8.6407848460891862E-2</v>
      </c>
      <c r="J79">
        <f t="shared" si="31"/>
        <v>1662351.8320007592</v>
      </c>
      <c r="K79" s="1">
        <f t="shared" si="32"/>
        <v>7.1748490440311556</v>
      </c>
      <c r="L79" s="1">
        <f t="shared" si="21"/>
        <v>7.2006540384076558E-5</v>
      </c>
      <c r="M79" s="1">
        <f t="shared" si="33"/>
        <v>8.4971181960916847E-4</v>
      </c>
      <c r="N79" s="1">
        <f t="shared" si="34"/>
        <v>7.7521181960916823E-4</v>
      </c>
      <c r="O79">
        <v>83000</v>
      </c>
      <c r="P79" s="1">
        <f t="shared" si="39"/>
        <v>0.10784392401761679</v>
      </c>
      <c r="Q79" s="1">
        <f t="shared" si="40"/>
        <v>3.653770257327859E-2</v>
      </c>
      <c r="R79" s="1">
        <f t="shared" si="41"/>
        <v>5.9727016170201658E-4</v>
      </c>
      <c r="S79" s="1">
        <f t="shared" si="22"/>
        <v>2.7060370609961241E-2</v>
      </c>
      <c r="T79" s="1">
        <f t="shared" si="35"/>
        <v>0.26931039736225981</v>
      </c>
      <c r="U79" s="1">
        <f t="shared" si="23"/>
        <v>0.3557182458231517</v>
      </c>
      <c r="V79" s="1">
        <f t="shared" si="24"/>
        <v>3.0145899999999999E-5</v>
      </c>
      <c r="W79" s="1">
        <f t="shared" si="25"/>
        <v>11799.888071782621</v>
      </c>
      <c r="X79" s="1">
        <f t="shared" si="26"/>
        <v>3.193150962577139</v>
      </c>
      <c r="Y79">
        <f t="shared" si="27"/>
        <v>356.00513808606291</v>
      </c>
      <c r="Z79">
        <v>2929</v>
      </c>
      <c r="AA79">
        <v>23.355</v>
      </c>
      <c r="AB79">
        <v>1.2706</v>
      </c>
      <c r="AC79" s="1">
        <f t="shared" si="28"/>
        <v>4905220.2052962007</v>
      </c>
      <c r="AD79">
        <f t="shared" si="36"/>
        <v>211.29921472651296</v>
      </c>
      <c r="AE79" s="1">
        <f t="shared" si="29"/>
        <v>3.9581269642962054E-2</v>
      </c>
      <c r="AF79" s="1">
        <f t="shared" si="37"/>
        <v>8.3634911934362481</v>
      </c>
    </row>
    <row r="80" spans="8:32">
      <c r="H80" s="1">
        <f t="shared" si="38"/>
        <v>7.7999999999999883</v>
      </c>
      <c r="I80" s="1">
        <f t="shared" si="30"/>
        <v>8.6044039064831324E-2</v>
      </c>
      <c r="J80">
        <f t="shared" si="31"/>
        <v>1648383.0536243652</v>
      </c>
      <c r="K80" s="1">
        <f t="shared" si="32"/>
        <v>7.1446402430480358</v>
      </c>
      <c r="L80" s="1">
        <f t="shared" si="21"/>
        <v>7.1703365887359433E-5</v>
      </c>
      <c r="M80" s="1">
        <f t="shared" si="33"/>
        <v>8.5691247364757617E-4</v>
      </c>
      <c r="N80" s="1">
        <f t="shared" si="34"/>
        <v>7.8241247364757593E-4</v>
      </c>
      <c r="O80">
        <v>83000</v>
      </c>
      <c r="P80" s="1">
        <f t="shared" si="39"/>
        <v>0.10790365103378699</v>
      </c>
      <c r="Q80" s="1">
        <f t="shared" si="40"/>
        <v>3.6578185007105156E-2</v>
      </c>
      <c r="R80" s="1">
        <f t="shared" si="41"/>
        <v>5.9473043520028739E-4</v>
      </c>
      <c r="S80" s="1">
        <f t="shared" si="22"/>
        <v>2.6975158261259225E-2</v>
      </c>
      <c r="T80" s="1">
        <f t="shared" si="35"/>
        <v>0.27200791318838574</v>
      </c>
      <c r="U80" s="1">
        <f t="shared" si="23"/>
        <v>0.35805195225321707</v>
      </c>
      <c r="V80" s="1">
        <f t="shared" si="24"/>
        <v>3.0145899999999999E-5</v>
      </c>
      <c r="W80" s="1">
        <f t="shared" si="25"/>
        <v>11877.301797366046</v>
      </c>
      <c r="X80" s="1">
        <f t="shared" si="26"/>
        <v>3.1897510380283753</v>
      </c>
      <c r="Y80">
        <f t="shared" si="27"/>
        <v>356.00513808606291</v>
      </c>
      <c r="Z80">
        <v>2929</v>
      </c>
      <c r="AA80">
        <v>23.355</v>
      </c>
      <c r="AB80">
        <v>1.2706</v>
      </c>
      <c r="AC80" s="1">
        <f t="shared" si="28"/>
        <v>4885809.0384244323</v>
      </c>
      <c r="AD80">
        <f t="shared" si="36"/>
        <v>211.29921472651296</v>
      </c>
      <c r="AE80" s="1">
        <f t="shared" si="29"/>
        <v>3.9502875583964772E-2</v>
      </c>
      <c r="AF80" s="1">
        <f t="shared" si="37"/>
        <v>8.3469265903308987</v>
      </c>
    </row>
    <row r="81" spans="8:32">
      <c r="H81" s="1">
        <f t="shared" si="38"/>
        <v>7.8999999999999879</v>
      </c>
      <c r="I81" s="1">
        <f t="shared" si="30"/>
        <v>8.5686289797368032E-2</v>
      </c>
      <c r="J81">
        <f t="shared" si="31"/>
        <v>1634704.432569026</v>
      </c>
      <c r="K81" s="1">
        <f t="shared" si="32"/>
        <v>7.114934642973715</v>
      </c>
      <c r="L81" s="1">
        <f t="shared" si="21"/>
        <v>7.1405241497806695E-5</v>
      </c>
      <c r="M81" s="1">
        <f t="shared" si="33"/>
        <v>8.6408281023631214E-4</v>
      </c>
      <c r="N81" s="1">
        <f t="shared" si="34"/>
        <v>7.895828102363119E-4</v>
      </c>
      <c r="O81">
        <v>83000</v>
      </c>
      <c r="P81" s="1">
        <f t="shared" si="39"/>
        <v>0.10796312407730702</v>
      </c>
      <c r="Q81" s="1">
        <f t="shared" si="40"/>
        <v>3.6618517571904277E-2</v>
      </c>
      <c r="R81" s="1">
        <f t="shared" si="41"/>
        <v>5.9222906611021561E-4</v>
      </c>
      <c r="S81" s="1">
        <f t="shared" si="22"/>
        <v>2.6891322575297246E-2</v>
      </c>
      <c r="T81" s="1">
        <f t="shared" si="35"/>
        <v>0.27469704544591544</v>
      </c>
      <c r="U81" s="1">
        <f t="shared" si="23"/>
        <v>0.36038333524328348</v>
      </c>
      <c r="V81" s="1">
        <f t="shared" si="24"/>
        <v>3.0145899999999999E-5</v>
      </c>
      <c r="W81" s="1">
        <f t="shared" si="25"/>
        <v>11954.638449782009</v>
      </c>
      <c r="X81" s="1">
        <f t="shared" si="26"/>
        <v>3.1863918019443447</v>
      </c>
      <c r="Y81">
        <f t="shared" si="27"/>
        <v>356.00513808606291</v>
      </c>
      <c r="Z81">
        <v>2929</v>
      </c>
      <c r="AA81">
        <v>23.355</v>
      </c>
      <c r="AB81">
        <v>1.2706</v>
      </c>
      <c r="AC81" s="1">
        <f t="shared" si="28"/>
        <v>4866719.3633274445</v>
      </c>
      <c r="AD81">
        <f t="shared" si="36"/>
        <v>211.29921472651296</v>
      </c>
      <c r="AE81" s="1">
        <f t="shared" si="29"/>
        <v>3.9425627876082975E-2</v>
      </c>
      <c r="AF81" s="1">
        <f t="shared" si="37"/>
        <v>8.3306042103160518</v>
      </c>
    </row>
    <row r="82" spans="8:32">
      <c r="H82" s="1">
        <f t="shared" si="38"/>
        <v>7.9999999999999876</v>
      </c>
      <c r="I82" s="1">
        <f t="shared" si="30"/>
        <v>8.5334426028391031E-2</v>
      </c>
      <c r="J82">
        <f t="shared" si="31"/>
        <v>1621306.4368797371</v>
      </c>
      <c r="K82" s="1">
        <f t="shared" si="32"/>
        <v>7.0857177434507923</v>
      </c>
      <c r="L82" s="1">
        <f t="shared" si="21"/>
        <v>7.1112021690325865E-5</v>
      </c>
      <c r="M82" s="1">
        <f t="shared" si="33"/>
        <v>8.7122333438609278E-4</v>
      </c>
      <c r="N82" s="1">
        <f t="shared" si="34"/>
        <v>7.9672333438609254E-4</v>
      </c>
      <c r="O82">
        <v>83000</v>
      </c>
      <c r="P82" s="1">
        <f t="shared" si="39"/>
        <v>0.10802234698391804</v>
      </c>
      <c r="Q82" s="1">
        <f t="shared" si="40"/>
        <v>3.6658702586373507E-2</v>
      </c>
      <c r="R82" s="1">
        <f t="shared" si="41"/>
        <v>5.8976500572739535E-4</v>
      </c>
      <c r="S82" s="1">
        <f t="shared" si="22"/>
        <v>2.6808824726606201E-2</v>
      </c>
      <c r="T82" s="1">
        <f t="shared" si="35"/>
        <v>0.27737792791857607</v>
      </c>
      <c r="U82" s="1">
        <f t="shared" si="23"/>
        <v>0.3627123539469671</v>
      </c>
      <c r="V82" s="1">
        <f t="shared" si="24"/>
        <v>3.0145899999999999E-5</v>
      </c>
      <c r="W82" s="1">
        <f t="shared" si="25"/>
        <v>12031.896674073991</v>
      </c>
      <c r="X82" s="1">
        <f t="shared" si="26"/>
        <v>3.183072249478418</v>
      </c>
      <c r="Y82">
        <f t="shared" si="27"/>
        <v>356.00513808606291</v>
      </c>
      <c r="Z82">
        <v>2929</v>
      </c>
      <c r="AA82">
        <v>23.355</v>
      </c>
      <c r="AB82">
        <v>1.2706</v>
      </c>
      <c r="AC82" s="1">
        <f t="shared" si="28"/>
        <v>4847941.9523410257</v>
      </c>
      <c r="AD82">
        <f t="shared" si="36"/>
        <v>211.29921472651296</v>
      </c>
      <c r="AE82" s="1">
        <f t="shared" si="29"/>
        <v>3.9349495821310039E-2</v>
      </c>
      <c r="AF82" s="1">
        <f t="shared" si="37"/>
        <v>8.3145175669270142</v>
      </c>
    </row>
    <row r="83" spans="8:32">
      <c r="H83" s="1">
        <f t="shared" si="38"/>
        <v>8.0999999999999872</v>
      </c>
      <c r="I83" s="1">
        <f t="shared" si="30"/>
        <v>8.4988280233262506E-2</v>
      </c>
      <c r="J83">
        <f t="shared" si="31"/>
        <v>1608179.9601550205</v>
      </c>
      <c r="K83" s="1">
        <f t="shared" si="32"/>
        <v>7.0569756341226411</v>
      </c>
      <c r="L83" s="1">
        <f t="shared" si="21"/>
        <v>7.0823566861052086E-5</v>
      </c>
      <c r="M83" s="1">
        <f t="shared" si="33"/>
        <v>8.7833453655512535E-4</v>
      </c>
      <c r="N83" s="1">
        <f t="shared" si="34"/>
        <v>8.0383453655512511E-4</v>
      </c>
      <c r="O83">
        <v>83000</v>
      </c>
      <c r="P83" s="1">
        <f t="shared" si="39"/>
        <v>0.10808132348449077</v>
      </c>
      <c r="Q83" s="1">
        <f t="shared" si="40"/>
        <v>3.66987423048942E-2</v>
      </c>
      <c r="R83" s="1">
        <f t="shared" si="41"/>
        <v>5.8733724665848905E-4</v>
      </c>
      <c r="S83" s="1">
        <f t="shared" si="22"/>
        <v>2.6727627443870604E-2</v>
      </c>
      <c r="T83" s="1">
        <f t="shared" si="35"/>
        <v>0.28005069066296312</v>
      </c>
      <c r="U83" s="1">
        <f t="shared" si="23"/>
        <v>0.36503897089622561</v>
      </c>
      <c r="V83" s="1">
        <f t="shared" si="24"/>
        <v>3.0145899999999999E-5</v>
      </c>
      <c r="W83" s="1">
        <f t="shared" si="25"/>
        <v>12109.075227351834</v>
      </c>
      <c r="X83" s="1">
        <f t="shared" si="26"/>
        <v>3.17979141290196</v>
      </c>
      <c r="Y83">
        <f t="shared" si="27"/>
        <v>356.00513808606291</v>
      </c>
      <c r="Z83">
        <v>2929</v>
      </c>
      <c r="AA83">
        <v>23.355</v>
      </c>
      <c r="AB83">
        <v>1.2706</v>
      </c>
      <c r="AC83" s="1">
        <f t="shared" si="28"/>
        <v>4829467.9521557968</v>
      </c>
      <c r="AD83">
        <f t="shared" si="36"/>
        <v>211.29921472651296</v>
      </c>
      <c r="AE83" s="1">
        <f t="shared" si="29"/>
        <v>3.9274449908941744E-2</v>
      </c>
      <c r="AF83" s="1">
        <f t="shared" si="37"/>
        <v>8.298660424575159</v>
      </c>
    </row>
    <row r="84" spans="8:32">
      <c r="H84" s="1">
        <f t="shared" si="38"/>
        <v>8.1999999999999869</v>
      </c>
      <c r="I84" s="1">
        <f t="shared" si="30"/>
        <v>8.4647691621331594E-2</v>
      </c>
      <c r="J84">
        <f t="shared" si="31"/>
        <v>1595316.2976473286</v>
      </c>
      <c r="K84" s="1">
        <f t="shared" si="32"/>
        <v>7.0286949637871619</v>
      </c>
      <c r="L84" s="1">
        <f t="shared" si="21"/>
        <v>7.0539743017776331E-5</v>
      </c>
      <c r="M84" s="1">
        <f t="shared" si="33"/>
        <v>8.8541689324123053E-4</v>
      </c>
      <c r="N84" s="1">
        <f t="shared" si="34"/>
        <v>8.1091689324123029E-4</v>
      </c>
      <c r="O84">
        <v>83000</v>
      </c>
      <c r="P84" s="1">
        <f t="shared" si="39"/>
        <v>0.10814005720915662</v>
      </c>
      <c r="Q84" s="1">
        <f t="shared" si="40"/>
        <v>3.6738638920085089E-2</v>
      </c>
      <c r="R84" s="1">
        <f t="shared" si="41"/>
        <v>5.8494482070976447E-4</v>
      </c>
      <c r="S84" s="1">
        <f t="shared" si="22"/>
        <v>2.6647694929725133E-2</v>
      </c>
      <c r="T84" s="1">
        <f t="shared" si="35"/>
        <v>0.28271546015593563</v>
      </c>
      <c r="U84" s="1">
        <f t="shared" si="23"/>
        <v>0.36736315177726719</v>
      </c>
      <c r="V84" s="1">
        <f t="shared" si="24"/>
        <v>3.0145899999999999E-5</v>
      </c>
      <c r="W84" s="1">
        <f t="shared" si="25"/>
        <v>12186.172971358201</v>
      </c>
      <c r="X84" s="1">
        <f t="shared" si="26"/>
        <v>3.1765483597948379</v>
      </c>
      <c r="Y84">
        <f t="shared" si="27"/>
        <v>356.00513808606291</v>
      </c>
      <c r="Z84">
        <v>2929</v>
      </c>
      <c r="AA84">
        <v>23.355</v>
      </c>
      <c r="AB84">
        <v>1.2706</v>
      </c>
      <c r="AC84" s="1">
        <f t="shared" si="28"/>
        <v>4811288.8642907115</v>
      </c>
      <c r="AD84">
        <f t="shared" si="36"/>
        <v>211.29921472651296</v>
      </c>
      <c r="AE84" s="1">
        <f t="shared" si="29"/>
        <v>3.9200461755850853E-2</v>
      </c>
      <c r="AF84" s="1">
        <f t="shared" si="37"/>
        <v>8.2830267859279889</v>
      </c>
    </row>
    <row r="85" spans="8:32">
      <c r="H85" s="1">
        <f t="shared" si="38"/>
        <v>8.2999999999999865</v>
      </c>
      <c r="I85" s="1">
        <f t="shared" si="30"/>
        <v>8.4312505788075975E-2</v>
      </c>
      <c r="J85">
        <f t="shared" si="31"/>
        <v>1582707.123974476</v>
      </c>
      <c r="K85" s="1">
        <f t="shared" si="32"/>
        <v>7.0008629115124741</v>
      </c>
      <c r="L85" s="1">
        <f t="shared" si="21"/>
        <v>7.0260421490063319E-5</v>
      </c>
      <c r="M85" s="1">
        <f t="shared" si="33"/>
        <v>8.9247086754300816E-4</v>
      </c>
      <c r="N85" s="1">
        <f t="shared" si="34"/>
        <v>8.1797086754300792E-4</v>
      </c>
      <c r="O85">
        <v>83000</v>
      </c>
      <c r="P85" s="1">
        <f t="shared" si="39"/>
        <v>0.10819855169122759</v>
      </c>
      <c r="Q85" s="1">
        <f t="shared" si="40"/>
        <v>3.677839456522479E-2</v>
      </c>
      <c r="R85" s="1">
        <f t="shared" si="41"/>
        <v>5.8258679690763977E-4</v>
      </c>
      <c r="S85" s="1">
        <f t="shared" si="22"/>
        <v>2.6568992785597975E-2</v>
      </c>
      <c r="T85" s="1">
        <f t="shared" si="35"/>
        <v>0.2853723594344954</v>
      </c>
      <c r="U85" s="1">
        <f t="shared" si="23"/>
        <v>0.36968486522257138</v>
      </c>
      <c r="V85" s="1">
        <f t="shared" si="24"/>
        <v>3.0145899999999999E-5</v>
      </c>
      <c r="W85" s="1">
        <f t="shared" si="25"/>
        <v>12263.188865569493</v>
      </c>
      <c r="X85" s="1">
        <f t="shared" si="26"/>
        <v>3.1733421913448869</v>
      </c>
      <c r="Y85">
        <f t="shared" si="27"/>
        <v>356.00513808606291</v>
      </c>
      <c r="Z85">
        <v>2929</v>
      </c>
      <c r="AA85">
        <v>23.355</v>
      </c>
      <c r="AB85">
        <v>1.2706</v>
      </c>
      <c r="AC85" s="1">
        <f t="shared" si="28"/>
        <v>4793396.5268061562</v>
      </c>
      <c r="AD85">
        <f t="shared" si="36"/>
        <v>211.29921472651296</v>
      </c>
      <c r="AE85" s="1">
        <f t="shared" si="29"/>
        <v>3.9127504050444434E-2</v>
      </c>
      <c r="AF85" s="1">
        <f t="shared" si="37"/>
        <v>8.2676108800673642</v>
      </c>
    </row>
    <row r="86" spans="8:32">
      <c r="H86" s="1">
        <f t="shared" si="38"/>
        <v>8.3999999999999861</v>
      </c>
      <c r="I86" s="1">
        <f t="shared" si="30"/>
        <v>8.3982574389107056E-2</v>
      </c>
      <c r="J86">
        <f t="shared" si="31"/>
        <v>1570344.4723158008</v>
      </c>
      <c r="K86" s="1">
        <f t="shared" si="32"/>
        <v>6.9734671595680275</v>
      </c>
      <c r="L86" s="1">
        <f t="shared" si="21"/>
        <v>6.998547865758922E-5</v>
      </c>
      <c r="M86" s="1">
        <f t="shared" si="33"/>
        <v>8.9949690969201449E-4</v>
      </c>
      <c r="N86" s="1">
        <f t="shared" si="34"/>
        <v>8.2499690969201425E-4</v>
      </c>
      <c r="O86">
        <v>83000</v>
      </c>
      <c r="P86" s="1">
        <f t="shared" si="39"/>
        <v>0.10825681037091836</v>
      </c>
      <c r="Q86" s="1">
        <f t="shared" si="40"/>
        <v>3.6818011316551345E-2</v>
      </c>
      <c r="R86" s="1">
        <f t="shared" si="41"/>
        <v>5.8026227964151416E-4</v>
      </c>
      <c r="S86" s="1">
        <f t="shared" si="22"/>
        <v>2.6491487941227347E-2</v>
      </c>
      <c r="T86" s="1">
        <f t="shared" si="35"/>
        <v>0.28802150822861816</v>
      </c>
      <c r="U86" s="1">
        <f t="shared" si="23"/>
        <v>0.37200408261772522</v>
      </c>
      <c r="V86" s="1">
        <f t="shared" si="24"/>
        <v>3.0145899999999999E-5</v>
      </c>
      <c r="W86" s="1">
        <f t="shared" si="25"/>
        <v>12340.121960788209</v>
      </c>
      <c r="X86" s="1">
        <f t="shared" si="26"/>
        <v>3.1701720407485783</v>
      </c>
      <c r="Y86">
        <f t="shared" si="27"/>
        <v>356.00513808606291</v>
      </c>
      <c r="Z86">
        <v>2929</v>
      </c>
      <c r="AA86">
        <v>23.355</v>
      </c>
      <c r="AB86">
        <v>1.2706</v>
      </c>
      <c r="AC86" s="1">
        <f t="shared" si="28"/>
        <v>4775783.0971642295</v>
      </c>
      <c r="AD86">
        <f t="shared" si="36"/>
        <v>211.29921472651296</v>
      </c>
      <c r="AE86" s="1">
        <f t="shared" si="29"/>
        <v>3.9055550500035854E-2</v>
      </c>
      <c r="AF86" s="1">
        <f t="shared" si="37"/>
        <v>8.2524071513692459</v>
      </c>
    </row>
    <row r="87" spans="8:32">
      <c r="H87" s="1">
        <f t="shared" si="38"/>
        <v>8.4999999999999858</v>
      </c>
      <c r="I87" s="1">
        <f t="shared" si="30"/>
        <v>8.3657754834425585E-2</v>
      </c>
      <c r="J87">
        <f t="shared" si="31"/>
        <v>1558220.7149780185</v>
      </c>
      <c r="K87" s="1">
        <f t="shared" si="32"/>
        <v>6.9464958680372142</v>
      </c>
      <c r="L87" s="1">
        <f t="shared" si="21"/>
        <v>6.9714795695354661E-5</v>
      </c>
      <c r="M87" s="1">
        <f t="shared" si="33"/>
        <v>9.0649545755777346E-4</v>
      </c>
      <c r="N87" s="1">
        <f t="shared" si="34"/>
        <v>8.3199545755777322E-4</v>
      </c>
      <c r="O87">
        <v>83000</v>
      </c>
      <c r="P87" s="1">
        <f t="shared" si="39"/>
        <v>0.10831483659888251</v>
      </c>
      <c r="Q87" s="1">
        <f t="shared" si="40"/>
        <v>3.6857491195446422E-2</v>
      </c>
      <c r="R87" s="1">
        <f t="shared" si="41"/>
        <v>5.7797040691998764E-4</v>
      </c>
      <c r="S87" s="1">
        <f t="shared" si="22"/>
        <v>2.6415148588509716E-2</v>
      </c>
      <c r="T87" s="1">
        <f t="shared" si="35"/>
        <v>0.29066302308746911</v>
      </c>
      <c r="U87" s="1">
        <f t="shared" si="23"/>
        <v>0.37432077792189467</v>
      </c>
      <c r="V87" s="1">
        <f t="shared" si="24"/>
        <v>3.0145899999999999E-5</v>
      </c>
      <c r="W87" s="1">
        <f t="shared" si="25"/>
        <v>12416.971393187619</v>
      </c>
      <c r="X87" s="1">
        <f t="shared" si="26"/>
        <v>3.1670370717057312</v>
      </c>
      <c r="Y87">
        <f t="shared" si="27"/>
        <v>356.00513808606291</v>
      </c>
      <c r="Z87">
        <v>2929</v>
      </c>
      <c r="AA87">
        <v>23.355</v>
      </c>
      <c r="AB87">
        <v>1.2706</v>
      </c>
      <c r="AC87" s="1">
        <f t="shared" si="28"/>
        <v>4758441.0361517109</v>
      </c>
      <c r="AD87">
        <f t="shared" si="36"/>
        <v>211.29921472651296</v>
      </c>
      <c r="AE87" s="1">
        <f t="shared" si="29"/>
        <v>3.8984575781386213E-2</v>
      </c>
      <c r="AF87" s="1">
        <f t="shared" si="37"/>
        <v>8.2374102490531413</v>
      </c>
    </row>
    <row r="88" spans="8:32">
      <c r="H88" s="1">
        <f t="shared" si="38"/>
        <v>8.5999999999999854</v>
      </c>
      <c r="I88" s="1">
        <f t="shared" si="30"/>
        <v>8.3337910001450438E-2</v>
      </c>
      <c r="J88">
        <f t="shared" si="31"/>
        <v>1546328.5452258666</v>
      </c>
      <c r="K88" s="1">
        <f t="shared" si="32"/>
        <v>6.9199376509888095</v>
      </c>
      <c r="L88" s="1">
        <f t="shared" si="21"/>
        <v>6.9448258334542034E-5</v>
      </c>
      <c r="M88" s="1">
        <f t="shared" si="33"/>
        <v>9.1346693712730895E-4</v>
      </c>
      <c r="N88" s="1">
        <f t="shared" si="34"/>
        <v>8.3896693712730871E-4</v>
      </c>
      <c r="O88">
        <v>83000</v>
      </c>
      <c r="P88" s="1">
        <f t="shared" si="39"/>
        <v>0.10837263363957451</v>
      </c>
      <c r="Q88" s="1">
        <f t="shared" si="40"/>
        <v>3.689683617051135E-2</v>
      </c>
      <c r="R88" s="1">
        <f t="shared" si="41"/>
        <v>5.7571034873230866E-4</v>
      </c>
      <c r="S88" s="1">
        <f t="shared" si="22"/>
        <v>2.63399441193665E-2</v>
      </c>
      <c r="T88" s="1">
        <f t="shared" si="35"/>
        <v>0.29329701749940573</v>
      </c>
      <c r="U88" s="1">
        <f t="shared" si="23"/>
        <v>0.37663492750085614</v>
      </c>
      <c r="V88" s="1">
        <f t="shared" si="24"/>
        <v>3.0145899999999999E-5</v>
      </c>
      <c r="W88" s="1">
        <f t="shared" si="25"/>
        <v>12493.736378773105</v>
      </c>
      <c r="X88" s="1">
        <f t="shared" si="26"/>
        <v>3.1639364770017133</v>
      </c>
      <c r="Y88">
        <f t="shared" si="27"/>
        <v>356.00513808606291</v>
      </c>
      <c r="Z88">
        <v>2929</v>
      </c>
      <c r="AA88">
        <v>23.355</v>
      </c>
      <c r="AB88">
        <v>1.2706</v>
      </c>
      <c r="AC88" s="1">
        <f t="shared" si="28"/>
        <v>4741363.0927882995</v>
      </c>
      <c r="AD88">
        <f t="shared" si="36"/>
        <v>211.29921472651296</v>
      </c>
      <c r="AE88" s="1">
        <f t="shared" si="29"/>
        <v>3.8914555494189575E-2</v>
      </c>
      <c r="AF88" s="1">
        <f t="shared" si="37"/>
        <v>8.2226150173535668</v>
      </c>
    </row>
    <row r="89" spans="8:32">
      <c r="H89" s="1">
        <f t="shared" si="38"/>
        <v>8.6999999999999851</v>
      </c>
      <c r="I89" s="1">
        <f t="shared" si="30"/>
        <v>8.3022907965467185E-2</v>
      </c>
      <c r="J89">
        <f t="shared" si="31"/>
        <v>1534660.9602817681</v>
      </c>
      <c r="K89" s="1">
        <f t="shared" si="32"/>
        <v>6.8937815540948417</v>
      </c>
      <c r="L89" s="1">
        <f t="shared" si="21"/>
        <v>6.9185756637889315E-5</v>
      </c>
      <c r="M89" s="1">
        <f t="shared" si="33"/>
        <v>9.2041176296076314E-4</v>
      </c>
      <c r="N89" s="1">
        <f t="shared" si="34"/>
        <v>8.459117629607629E-4</v>
      </c>
      <c r="O89">
        <v>83000</v>
      </c>
      <c r="P89" s="1">
        <f t="shared" si="39"/>
        <v>0.10843020467444775</v>
      </c>
      <c r="Q89" s="1">
        <f t="shared" si="40"/>
        <v>3.6936048159541386E-2</v>
      </c>
      <c r="R89" s="1">
        <f t="shared" si="41"/>
        <v>5.7348130550757023E-4</v>
      </c>
      <c r="S89" s="1">
        <f t="shared" si="22"/>
        <v>2.6265845067342107E-2</v>
      </c>
      <c r="T89" s="1">
        <f t="shared" si="35"/>
        <v>0.29592360200613993</v>
      </c>
      <c r="U89" s="1">
        <f t="shared" si="23"/>
        <v>0.37894650997160712</v>
      </c>
      <c r="V89" s="1">
        <f t="shared" si="24"/>
        <v>3.0145899999999999E-5</v>
      </c>
      <c r="W89" s="1">
        <f t="shared" si="25"/>
        <v>12570.416208227558</v>
      </c>
      <c r="X89" s="1">
        <f t="shared" si="26"/>
        <v>3.1608694771711163</v>
      </c>
      <c r="Y89">
        <f t="shared" si="27"/>
        <v>356.00513808606291</v>
      </c>
      <c r="Z89">
        <v>2929</v>
      </c>
      <c r="AA89">
        <v>23.355</v>
      </c>
      <c r="AB89">
        <v>1.2706</v>
      </c>
      <c r="AC89" s="1">
        <f t="shared" si="28"/>
        <v>4724542.2901492277</v>
      </c>
      <c r="AD89">
        <f t="shared" si="36"/>
        <v>211.29921472651296</v>
      </c>
      <c r="AE89" s="1">
        <f t="shared" si="29"/>
        <v>3.8845466117295488E-2</v>
      </c>
      <c r="AF89" s="1">
        <f t="shared" si="37"/>
        <v>8.2080164862699032</v>
      </c>
    </row>
    <row r="90" spans="8:32">
      <c r="H90" s="1">
        <f t="shared" si="38"/>
        <v>8.7999999999999847</v>
      </c>
      <c r="I90" s="1">
        <f t="shared" si="30"/>
        <v>8.2712621746254211E-2</v>
      </c>
      <c r="J90">
        <f t="shared" si="31"/>
        <v>1523211.2454070011</v>
      </c>
      <c r="K90" s="1">
        <f t="shared" si="32"/>
        <v>6.8680170335917792</v>
      </c>
      <c r="L90" s="1">
        <f t="shared" si="21"/>
        <v>6.8927184788545183E-5</v>
      </c>
      <c r="M90" s="1">
        <f t="shared" si="33"/>
        <v>9.2733033862455209E-4</v>
      </c>
      <c r="N90" s="1">
        <f t="shared" si="34"/>
        <v>8.5283033862455185E-4</v>
      </c>
      <c r="O90">
        <v>83000</v>
      </c>
      <c r="P90" s="1">
        <f t="shared" si="39"/>
        <v>0.10848755280499851</v>
      </c>
      <c r="Q90" s="1">
        <f t="shared" si="40"/>
        <v>3.6975129031404499E-2</v>
      </c>
      <c r="R90" s="1">
        <f t="shared" si="41"/>
        <v>5.712825066647786E-4</v>
      </c>
      <c r="S90" s="1">
        <f t="shared" si="22"/>
        <v>2.6192823052669845E-2</v>
      </c>
      <c r="T90" s="1">
        <f t="shared" si="35"/>
        <v>0.29854288431140691</v>
      </c>
      <c r="U90" s="1">
        <f t="shared" si="23"/>
        <v>0.38125550605766112</v>
      </c>
      <c r="V90" s="1">
        <f t="shared" si="24"/>
        <v>3.0145899999999999E-5</v>
      </c>
      <c r="W90" s="1">
        <f t="shared" si="25"/>
        <v>12647.010242111237</v>
      </c>
      <c r="X90" s="1">
        <f t="shared" si="26"/>
        <v>3.1578353192373161</v>
      </c>
      <c r="Y90">
        <f t="shared" si="27"/>
        <v>356.00513808606291</v>
      </c>
      <c r="Z90">
        <v>2929</v>
      </c>
      <c r="AA90">
        <v>23.355</v>
      </c>
      <c r="AB90">
        <v>1.2706</v>
      </c>
      <c r="AC90" s="1">
        <f t="shared" si="28"/>
        <v>4707971.9120371304</v>
      </c>
      <c r="AD90">
        <f t="shared" si="36"/>
        <v>211.29921472651296</v>
      </c>
      <c r="AE90" s="1">
        <f t="shared" si="29"/>
        <v>3.8777284967478398E-2</v>
      </c>
      <c r="AF90" s="1">
        <f t="shared" si="37"/>
        <v>8.1936098628544016</v>
      </c>
    </row>
    <row r="91" spans="8:32">
      <c r="H91" s="1">
        <f t="shared" si="38"/>
        <v>8.8999999999999844</v>
      </c>
      <c r="I91" s="1">
        <f t="shared" si="30"/>
        <v>8.2406929069746199E-2</v>
      </c>
      <c r="J91">
        <f t="shared" si="31"/>
        <v>1511972.9589843038</v>
      </c>
      <c r="K91" s="1">
        <f t="shared" si="32"/>
        <v>6.842633936490321</v>
      </c>
      <c r="L91" s="1">
        <f t="shared" si="21"/>
        <v>6.8672440891455163E-5</v>
      </c>
      <c r="M91" s="1">
        <f t="shared" si="33"/>
        <v>9.3422305710340661E-4</v>
      </c>
      <c r="N91" s="1">
        <f t="shared" si="34"/>
        <v>8.5972305710340638E-4</v>
      </c>
      <c r="O91">
        <v>83000</v>
      </c>
      <c r="P91" s="1">
        <f t="shared" si="39"/>
        <v>0.10854468105566499</v>
      </c>
      <c r="Q91" s="1">
        <f t="shared" si="40"/>
        <v>3.7014080607830055E-2</v>
      </c>
      <c r="R91" s="1">
        <f t="shared" si="41"/>
        <v>5.6911320924748067E-4</v>
      </c>
      <c r="S91" s="1">
        <f t="shared" si="22"/>
        <v>2.6120850730563208E-2</v>
      </c>
      <c r="T91" s="1">
        <f t="shared" si="35"/>
        <v>0.30115496938446323</v>
      </c>
      <c r="U91" s="1">
        <f t="shared" si="23"/>
        <v>0.3835618984542094</v>
      </c>
      <c r="V91" s="1">
        <f t="shared" si="24"/>
        <v>3.0145899999999999E-5</v>
      </c>
      <c r="W91" s="1">
        <f t="shared" si="25"/>
        <v>12723.51790638891</v>
      </c>
      <c r="X91" s="1">
        <f t="shared" si="26"/>
        <v>3.1548332755228516</v>
      </c>
      <c r="Y91">
        <f t="shared" si="27"/>
        <v>356.00513808606291</v>
      </c>
      <c r="Z91">
        <v>2929</v>
      </c>
      <c r="AA91">
        <v>23.355</v>
      </c>
      <c r="AB91">
        <v>1.2706</v>
      </c>
      <c r="AC91" s="1">
        <f t="shared" si="28"/>
        <v>4691645.4904434253</v>
      </c>
      <c r="AD91">
        <f t="shared" si="36"/>
        <v>211.29921472651296</v>
      </c>
      <c r="AE91" s="1">
        <f t="shared" si="29"/>
        <v>3.870999016057914E-2</v>
      </c>
      <c r="AF91" s="1">
        <f t="shared" si="37"/>
        <v>8.1793905230014161</v>
      </c>
    </row>
    <row r="92" spans="8:32">
      <c r="H92" s="1">
        <f t="shared" si="38"/>
        <v>8.999999999999984</v>
      </c>
      <c r="I92" s="1">
        <f t="shared" si="30"/>
        <v>8.2105712143686435E-2</v>
      </c>
      <c r="J92">
        <f t="shared" si="31"/>
        <v>1500939.9185285948</v>
      </c>
      <c r="K92" s="1">
        <f t="shared" si="32"/>
        <v>6.817622481946767</v>
      </c>
      <c r="L92" s="1">
        <f t="shared" si="21"/>
        <v>6.8421426786405358E-5</v>
      </c>
      <c r="M92" s="1">
        <f t="shared" si="33"/>
        <v>9.4109030119255213E-4</v>
      </c>
      <c r="N92" s="1">
        <f t="shared" si="34"/>
        <v>8.6659030119255189E-4</v>
      </c>
      <c r="O92">
        <v>83000</v>
      </c>
      <c r="P92" s="1">
        <f t="shared" si="39"/>
        <v>0.10860159237658974</v>
      </c>
      <c r="Q92" s="1">
        <f t="shared" si="40"/>
        <v>3.7052904665112969E-2</v>
      </c>
      <c r="R92" s="1">
        <f t="shared" si="41"/>
        <v>5.6697269663713459E-4</v>
      </c>
      <c r="S92" s="1">
        <f t="shared" si="22"/>
        <v>2.6049901742510029E-2</v>
      </c>
      <c r="T92" s="1">
        <f t="shared" si="35"/>
        <v>0.30375995955871421</v>
      </c>
      <c r="U92" s="1">
        <f t="shared" si="23"/>
        <v>0.38586567170240066</v>
      </c>
      <c r="V92" s="1">
        <f t="shared" si="24"/>
        <v>3.0145899999999999E-5</v>
      </c>
      <c r="W92" s="1">
        <f t="shared" si="25"/>
        <v>12799.938688259454</v>
      </c>
      <c r="X92" s="1">
        <f t="shared" si="26"/>
        <v>3.1518626425258511</v>
      </c>
      <c r="Y92">
        <f t="shared" si="27"/>
        <v>356.00513808606291</v>
      </c>
      <c r="Z92">
        <v>2929</v>
      </c>
      <c r="AA92">
        <v>23.355</v>
      </c>
      <c r="AB92">
        <v>1.2706</v>
      </c>
      <c r="AC92" s="1">
        <f t="shared" si="28"/>
        <v>4675556.7937442241</v>
      </c>
      <c r="AD92">
        <f t="shared" si="36"/>
        <v>211.29921472651296</v>
      </c>
      <c r="AE92" s="1">
        <f t="shared" si="29"/>
        <v>3.8643560574857343E-2</v>
      </c>
      <c r="AF92" s="1">
        <f t="shared" si="37"/>
        <v>8.1653540037037917</v>
      </c>
    </row>
    <row r="93" spans="8:32">
      <c r="H93" s="1">
        <f t="shared" si="38"/>
        <v>9.0999999999999837</v>
      </c>
      <c r="I93" s="1">
        <f t="shared" si="30"/>
        <v>8.180885744630316E-2</v>
      </c>
      <c r="J93">
        <f t="shared" si="31"/>
        <v>1490106.18755859</v>
      </c>
      <c r="K93" s="1">
        <f t="shared" si="32"/>
        <v>6.7929732437158155</v>
      </c>
      <c r="L93" s="1">
        <f t="shared" si="21"/>
        <v>6.8174047871919294E-5</v>
      </c>
      <c r="M93" s="1">
        <f t="shared" si="33"/>
        <v>9.4793244387119269E-4</v>
      </c>
      <c r="N93" s="1">
        <f t="shared" si="34"/>
        <v>8.7343244387119246E-4</v>
      </c>
      <c r="O93">
        <v>83000</v>
      </c>
      <c r="P93" s="1">
        <f t="shared" si="39"/>
        <v>0.10865828964625346</v>
      </c>
      <c r="Q93" s="1">
        <f t="shared" si="40"/>
        <v>3.7091602935737975E-2</v>
      </c>
      <c r="R93" s="1">
        <f t="shared" si="41"/>
        <v>5.6486027733986736E-4</v>
      </c>
      <c r="S93" s="1">
        <f t="shared" si="22"/>
        <v>2.5979950670363877E-2</v>
      </c>
      <c r="T93" s="1">
        <f t="shared" si="35"/>
        <v>0.30635795462575061</v>
      </c>
      <c r="U93" s="1">
        <f t="shared" si="23"/>
        <v>0.38816681207205378</v>
      </c>
      <c r="V93" s="1">
        <f t="shared" si="24"/>
        <v>3.0145899999999999E-5</v>
      </c>
      <c r="W93" s="1">
        <f t="shared" si="25"/>
        <v>12876.272132265211</v>
      </c>
      <c r="X93" s="1">
        <f t="shared" si="26"/>
        <v>3.1489227398582025</v>
      </c>
      <c r="Y93">
        <f t="shared" si="27"/>
        <v>356.00513808606291</v>
      </c>
      <c r="Z93">
        <v>2929</v>
      </c>
      <c r="AA93">
        <v>23.355</v>
      </c>
      <c r="AB93">
        <v>1.2706</v>
      </c>
      <c r="AC93" s="1">
        <f t="shared" si="28"/>
        <v>4659699.8155802209</v>
      </c>
      <c r="AD93">
        <f t="shared" si="36"/>
        <v>211.29921472651296</v>
      </c>
      <c r="AE93" s="1">
        <f t="shared" si="29"/>
        <v>3.8577975816406117E-2</v>
      </c>
      <c r="AF93" s="1">
        <f t="shared" si="37"/>
        <v>8.1514959957450195</v>
      </c>
    </row>
    <row r="94" spans="8:32">
      <c r="H94" s="1">
        <f t="shared" si="38"/>
        <v>9.1999999999999833</v>
      </c>
      <c r="I94" s="1">
        <f t="shared" si="30"/>
        <v>8.1516255527121786E-2</v>
      </c>
      <c r="J94">
        <f t="shared" si="31"/>
        <v>1479466.0632676447</v>
      </c>
      <c r="K94" s="1">
        <f t="shared" si="32"/>
        <v>6.7686771336110674</v>
      </c>
      <c r="L94" s="1">
        <f t="shared" si="21"/>
        <v>6.7930212939268156E-5</v>
      </c>
      <c r="M94" s="1">
        <f t="shared" si="33"/>
        <v>9.5474984865838463E-4</v>
      </c>
      <c r="N94" s="1">
        <f t="shared" si="34"/>
        <v>8.8024984865838439E-4</v>
      </c>
      <c r="O94">
        <v>83000</v>
      </c>
      <c r="P94" s="1">
        <f t="shared" si="39"/>
        <v>0.10871477567398745</v>
      </c>
      <c r="Q94" s="1">
        <f t="shared" si="40"/>
        <v>3.7130177109928761E-2</v>
      </c>
      <c r="R94" s="1">
        <f t="shared" si="41"/>
        <v>5.6277528384168849E-4</v>
      </c>
      <c r="S94" s="1">
        <f t="shared" si="22"/>
        <v>2.5910972993044078E-2</v>
      </c>
      <c r="T94" s="1">
        <f t="shared" si="35"/>
        <v>0.30894905192505501</v>
      </c>
      <c r="U94" s="1">
        <f t="shared" si="23"/>
        <v>0.39046530745217678</v>
      </c>
      <c r="V94" s="1">
        <f t="shared" si="24"/>
        <v>3.0145899999999999E-5</v>
      </c>
      <c r="W94" s="1">
        <f t="shared" si="25"/>
        <v>12952.517836660269</v>
      </c>
      <c r="X94" s="1">
        <f t="shared" si="26"/>
        <v>3.146012909241394</v>
      </c>
      <c r="Y94">
        <f t="shared" si="27"/>
        <v>356.00513808606291</v>
      </c>
      <c r="Z94">
        <v>2929</v>
      </c>
      <c r="AA94">
        <v>23.355</v>
      </c>
      <c r="AB94">
        <v>1.2706</v>
      </c>
      <c r="AC94" s="1">
        <f t="shared" si="28"/>
        <v>4644068.7643739535</v>
      </c>
      <c r="AD94">
        <f t="shared" si="36"/>
        <v>211.29921472651296</v>
      </c>
      <c r="AE94" s="1">
        <f t="shared" si="29"/>
        <v>3.8513216186492005E-2</v>
      </c>
      <c r="AF94" s="1">
        <f t="shared" si="37"/>
        <v>8.1378123367981896</v>
      </c>
    </row>
    <row r="95" spans="8:32">
      <c r="H95" s="1">
        <f t="shared" si="38"/>
        <v>9.2999999999999829</v>
      </c>
      <c r="I95" s="1">
        <f t="shared" si="30"/>
        <v>8.1227800819093698E-2</v>
      </c>
      <c r="J95">
        <f t="shared" si="31"/>
        <v>1469014.0649371725</v>
      </c>
      <c r="K95" s="1">
        <f t="shared" si="32"/>
        <v>6.7447253859052063</v>
      </c>
      <c r="L95" s="1">
        <f t="shared" si="21"/>
        <v>6.7689834015911409E-5</v>
      </c>
      <c r="M95" s="1">
        <f t="shared" si="33"/>
        <v>9.6154286995231149E-4</v>
      </c>
      <c r="N95" s="1">
        <f t="shared" si="34"/>
        <v>8.8704286995231125E-4</v>
      </c>
      <c r="O95">
        <v>83000</v>
      </c>
      <c r="P95" s="1">
        <f t="shared" si="39"/>
        <v>0.10877105320237161</v>
      </c>
      <c r="Q95" s="1">
        <f t="shared" si="40"/>
        <v>3.7168628837126058E-2</v>
      </c>
      <c r="R95" s="1">
        <f t="shared" si="41"/>
        <v>5.6071707152759826E-4</v>
      </c>
      <c r="S95" s="1">
        <f t="shared" si="22"/>
        <v>2.584294504566946E-2</v>
      </c>
      <c r="T95" s="1">
        <f t="shared" si="35"/>
        <v>0.31153334642962194</v>
      </c>
      <c r="U95" s="1">
        <f t="shared" si="23"/>
        <v>0.39276114724871564</v>
      </c>
      <c r="V95" s="1">
        <f t="shared" si="24"/>
        <v>3.0145899999999999E-5</v>
      </c>
      <c r="W95" s="1">
        <f t="shared" si="25"/>
        <v>13028.675450018598</v>
      </c>
      <c r="X95" s="1">
        <f t="shared" si="26"/>
        <v>3.1431325135563508</v>
      </c>
      <c r="Y95">
        <f t="shared" si="27"/>
        <v>356.00513808606291</v>
      </c>
      <c r="Z95">
        <v>2929</v>
      </c>
      <c r="AA95">
        <v>23.355</v>
      </c>
      <c r="AB95">
        <v>1.2706</v>
      </c>
      <c r="AC95" s="1">
        <f t="shared" si="28"/>
        <v>4628658.0534415198</v>
      </c>
      <c r="AD95">
        <f t="shared" si="36"/>
        <v>211.29921472651296</v>
      </c>
      <c r="AE95" s="1">
        <f t="shared" si="29"/>
        <v>3.8449262650693691E-2</v>
      </c>
      <c r="AF95" s="1">
        <f t="shared" si="37"/>
        <v>8.124299004905021</v>
      </c>
    </row>
    <row r="96" spans="8:32">
      <c r="H96" s="1">
        <f t="shared" si="38"/>
        <v>9.3999999999999826</v>
      </c>
      <c r="I96" s="1">
        <f t="shared" si="30"/>
        <v>8.0943391461286165E-2</v>
      </c>
      <c r="J96">
        <f t="shared" si="31"/>
        <v>1458744.923040559</v>
      </c>
      <c r="K96" s="1">
        <f t="shared" si="32"/>
        <v>6.7211095426070999</v>
      </c>
      <c r="L96" s="1">
        <f t="shared" si="21"/>
        <v>6.7452826217738476E-5</v>
      </c>
      <c r="M96" s="1">
        <f t="shared" si="33"/>
        <v>9.6831185335390264E-4</v>
      </c>
      <c r="N96" s="1">
        <f t="shared" si="34"/>
        <v>8.938118533539024E-4</v>
      </c>
      <c r="O96">
        <v>83000</v>
      </c>
      <c r="P96" s="1">
        <f t="shared" si="39"/>
        <v>0.10882712490952437</v>
      </c>
      <c r="Q96" s="1">
        <f t="shared" si="40"/>
        <v>3.7206959727398875E-2</v>
      </c>
      <c r="R96" s="1">
        <f t="shared" si="41"/>
        <v>5.5868501766038906E-4</v>
      </c>
      <c r="S96" s="1">
        <f t="shared" si="22"/>
        <v>2.5775843980965121E-2</v>
      </c>
      <c r="T96" s="1">
        <f t="shared" si="35"/>
        <v>0.31411093082771846</v>
      </c>
      <c r="U96" s="1">
        <f t="shared" si="23"/>
        <v>0.39505432228900461</v>
      </c>
      <c r="V96" s="1">
        <f t="shared" si="24"/>
        <v>3.0145899999999999E-5</v>
      </c>
      <c r="W96" s="1">
        <f t="shared" si="25"/>
        <v>13104.744668064468</v>
      </c>
      <c r="X96" s="1">
        <f t="shared" si="26"/>
        <v>3.1402809359437867</v>
      </c>
      <c r="Y96">
        <f t="shared" si="27"/>
        <v>356.00513808606291</v>
      </c>
      <c r="Z96">
        <v>2929</v>
      </c>
      <c r="AA96">
        <v>23.355</v>
      </c>
      <c r="AB96">
        <v>1.2706</v>
      </c>
      <c r="AC96" s="1">
        <f t="shared" si="28"/>
        <v>4613462.2916590879</v>
      </c>
      <c r="AD96">
        <f t="shared" si="36"/>
        <v>211.29921472651296</v>
      </c>
      <c r="AE96" s="1">
        <f t="shared" si="29"/>
        <v>3.8386096809722152E-2</v>
      </c>
      <c r="AF96" s="1">
        <f t="shared" si="37"/>
        <v>8.1109521123101942</v>
      </c>
    </row>
    <row r="97" spans="8:32">
      <c r="H97" s="1">
        <f t="shared" si="38"/>
        <v>9.4999999999999822</v>
      </c>
      <c r="I97" s="1">
        <f t="shared" si="30"/>
        <v>8.0662929131435426E-2</v>
      </c>
      <c r="J97">
        <f t="shared" si="31"/>
        <v>1448653.5689896599</v>
      </c>
      <c r="K97" s="1">
        <f t="shared" si="32"/>
        <v>6.6978214395579068</v>
      </c>
      <c r="L97" s="1">
        <f t="shared" si="21"/>
        <v>6.7219107609529517E-5</v>
      </c>
      <c r="M97" s="1">
        <f t="shared" si="33"/>
        <v>9.7505713597567645E-4</v>
      </c>
      <c r="N97" s="1">
        <f t="shared" si="34"/>
        <v>9.0055713597567621E-4</v>
      </c>
      <c r="O97">
        <v>83000</v>
      </c>
      <c r="P97" s="1">
        <f t="shared" si="39"/>
        <v>0.1088829934112904</v>
      </c>
      <c r="Q97" s="1">
        <f t="shared" si="40"/>
        <v>3.7245171352792331E-2</v>
      </c>
      <c r="R97" s="1">
        <f t="shared" si="41"/>
        <v>5.5667852041524813E-4</v>
      </c>
      <c r="S97" s="1">
        <f t="shared" si="22"/>
        <v>2.5709647732793179E-2</v>
      </c>
      <c r="T97" s="1">
        <f t="shared" si="35"/>
        <v>0.3166818956009978</v>
      </c>
      <c r="U97" s="1">
        <f t="shared" si="23"/>
        <v>0.39734482473243321</v>
      </c>
      <c r="V97" s="1">
        <f t="shared" si="24"/>
        <v>3.0145899999999999E-5</v>
      </c>
      <c r="W97" s="1">
        <f t="shared" si="25"/>
        <v>13180.725230709093</v>
      </c>
      <c r="X97" s="1">
        <f t="shared" si="26"/>
        <v>3.1374575789518975</v>
      </c>
      <c r="Y97">
        <f t="shared" si="27"/>
        <v>356.00513808606291</v>
      </c>
      <c r="Z97">
        <v>2929</v>
      </c>
      <c r="AA97">
        <v>23.355</v>
      </c>
      <c r="AB97">
        <v>1.2706</v>
      </c>
      <c r="AC97" s="1">
        <f t="shared" si="28"/>
        <v>4598476.2746476261</v>
      </c>
      <c r="AD97">
        <f t="shared" si="36"/>
        <v>211.29921472651296</v>
      </c>
      <c r="AE97" s="1">
        <f t="shared" si="29"/>
        <v>3.8323700871814394E-2</v>
      </c>
      <c r="AF97" s="1">
        <f t="shared" si="37"/>
        <v>8.0977678996281615</v>
      </c>
    </row>
    <row r="98" spans="8:32">
      <c r="H98" s="1">
        <f t="shared" si="38"/>
        <v>9.5999999999999819</v>
      </c>
      <c r="I98" s="1">
        <f t="shared" si="30"/>
        <v>8.038631888771805E-2</v>
      </c>
      <c r="J98">
        <f t="shared" si="31"/>
        <v>1438735.1254797357</v>
      </c>
      <c r="K98" s="1">
        <f t="shared" si="32"/>
        <v>6.6748531932926012</v>
      </c>
      <c r="L98" s="1">
        <f t="shared" si="21"/>
        <v>6.6988599073098369E-5</v>
      </c>
      <c r="M98" s="1">
        <f t="shared" si="33"/>
        <v>9.8177904673662944E-4</v>
      </c>
      <c r="N98" s="1">
        <f t="shared" si="34"/>
        <v>9.072790467366292E-4</v>
      </c>
      <c r="O98">
        <v>83000</v>
      </c>
      <c r="P98" s="1">
        <f t="shared" si="39"/>
        <v>0.10893866126333193</v>
      </c>
      <c r="Q98" s="1">
        <f t="shared" si="40"/>
        <v>3.7283265248615811E-2</v>
      </c>
      <c r="R98" s="1">
        <f t="shared" si="41"/>
        <v>5.5469699796656619E-4</v>
      </c>
      <c r="S98" s="1">
        <f t="shared" si="22"/>
        <v>2.5644334981670003E-2</v>
      </c>
      <c r="T98" s="1">
        <f t="shared" si="35"/>
        <v>0.31924632909916478</v>
      </c>
      <c r="U98" s="1">
        <f t="shared" si="23"/>
        <v>0.39963264798688281</v>
      </c>
      <c r="V98" s="1">
        <f t="shared" si="24"/>
        <v>3.0145899999999999E-5</v>
      </c>
      <c r="W98" s="1">
        <f t="shared" si="25"/>
        <v>13256.616919278669</v>
      </c>
      <c r="X98" s="1">
        <f t="shared" si="26"/>
        <v>3.1346618637284371</v>
      </c>
      <c r="Y98">
        <f t="shared" si="27"/>
        <v>356.00513808606291</v>
      </c>
      <c r="Z98">
        <v>2929</v>
      </c>
      <c r="AA98">
        <v>23.355</v>
      </c>
      <c r="AB98">
        <v>1.2706</v>
      </c>
      <c r="AC98" s="1">
        <f t="shared" si="28"/>
        <v>4583694.9764420027</v>
      </c>
      <c r="AD98">
        <f t="shared" si="36"/>
        <v>211.29921472651296</v>
      </c>
      <c r="AE98" s="1">
        <f t="shared" si="29"/>
        <v>3.8262057626600163E-2</v>
      </c>
      <c r="AF98" s="1">
        <f t="shared" si="37"/>
        <v>8.0847427303212012</v>
      </c>
    </row>
    <row r="99" spans="8:32">
      <c r="H99" s="1">
        <f t="shared" si="38"/>
        <v>9.6999999999999815</v>
      </c>
      <c r="I99" s="1">
        <f t="shared" si="30"/>
        <v>8.0113469019143776E-2</v>
      </c>
      <c r="J99">
        <f t="shared" si="31"/>
        <v>1428984.897392153</v>
      </c>
      <c r="K99" s="1">
        <f t="shared" si="32"/>
        <v>6.6521971886174009</v>
      </c>
      <c r="L99" s="1">
        <f t="shared" si="21"/>
        <v>6.6761224182619808E-5</v>
      </c>
      <c r="M99" s="1">
        <f t="shared" si="33"/>
        <v>9.8847790664393937E-4</v>
      </c>
      <c r="N99" s="1">
        <f t="shared" si="34"/>
        <v>9.1397790664393902E-4</v>
      </c>
      <c r="O99">
        <v>83000</v>
      </c>
      <c r="P99" s="1">
        <f t="shared" si="39"/>
        <v>0.10899413096312859</v>
      </c>
      <c r="Q99" s="1">
        <f t="shared" si="40"/>
        <v>3.7321242914674438E-2</v>
      </c>
      <c r="R99" s="1">
        <f t="shared" si="41"/>
        <v>5.5273988762361958E-4</v>
      </c>
      <c r="S99" s="1">
        <f t="shared" si="22"/>
        <v>2.557988512214239E-2</v>
      </c>
      <c r="T99" s="1">
        <f t="shared" si="35"/>
        <v>0.32180431761137901</v>
      </c>
      <c r="U99" s="1">
        <f t="shared" si="23"/>
        <v>0.4019177866305228</v>
      </c>
      <c r="V99" s="1">
        <f t="shared" si="24"/>
        <v>3.0145899999999999E-5</v>
      </c>
      <c r="W99" s="1">
        <f t="shared" si="25"/>
        <v>13332.419553920196</v>
      </c>
      <c r="X99" s="1">
        <f t="shared" si="26"/>
        <v>3.1318932292544259</v>
      </c>
      <c r="Y99">
        <f t="shared" si="27"/>
        <v>356.00513808606291</v>
      </c>
      <c r="Z99">
        <v>2929</v>
      </c>
      <c r="AA99">
        <v>23.355</v>
      </c>
      <c r="AB99">
        <v>1.2706</v>
      </c>
      <c r="AC99" s="1">
        <f t="shared" si="28"/>
        <v>4569113.5416131625</v>
      </c>
      <c r="AD99">
        <f t="shared" si="36"/>
        <v>211.29921472651296</v>
      </c>
      <c r="AE99" s="1">
        <f t="shared" si="29"/>
        <v>3.8201150420348995E-2</v>
      </c>
      <c r="AF99" s="1">
        <f t="shared" si="37"/>
        <v>8.0718730854691429</v>
      </c>
    </row>
    <row r="100" spans="8:32">
      <c r="H100" s="1">
        <f t="shared" si="38"/>
        <v>9.7999999999999812</v>
      </c>
      <c r="I100" s="1">
        <f t="shared" si="30"/>
        <v>7.9844290904017803E-2</v>
      </c>
      <c r="J100">
        <f t="shared" si="31"/>
        <v>1419398.36321731</v>
      </c>
      <c r="K100" s="1">
        <f t="shared" si="32"/>
        <v>6.6298460668572066</v>
      </c>
      <c r="L100" s="1">
        <f t="shared" si="21"/>
        <v>6.6536909086681504E-5</v>
      </c>
      <c r="M100" s="1">
        <f t="shared" si="33"/>
        <v>9.9515402906220126E-4</v>
      </c>
      <c r="N100" s="1">
        <f t="shared" si="34"/>
        <v>9.2065402906220102E-4</v>
      </c>
      <c r="O100">
        <v>83000</v>
      </c>
      <c r="P100" s="1">
        <f t="shared" si="39"/>
        <v>0.10904940495189094</v>
      </c>
      <c r="Q100" s="1">
        <f t="shared" si="40"/>
        <v>3.7359105816447184E-2</v>
      </c>
      <c r="R100" s="1">
        <f t="shared" si="41"/>
        <v>5.5080664501203937E-4</v>
      </c>
      <c r="S100" s="1">
        <f t="shared" si="22"/>
        <v>2.5516278231904731E-2</v>
      </c>
      <c r="T100" s="1">
        <f t="shared" si="35"/>
        <v>0.32435594543456947</v>
      </c>
      <c r="U100" s="1">
        <f t="shared" si="23"/>
        <v>0.40420023633858726</v>
      </c>
      <c r="V100" s="1">
        <f t="shared" si="24"/>
        <v>3.0145899999999999E-5</v>
      </c>
      <c r="W100" s="1">
        <f t="shared" si="25"/>
        <v>13408.132991172506</v>
      </c>
      <c r="X100" s="1">
        <f t="shared" si="26"/>
        <v>3.1291511316169567</v>
      </c>
      <c r="Y100">
        <f t="shared" si="27"/>
        <v>356.00513808606291</v>
      </c>
      <c r="Z100">
        <v>2929</v>
      </c>
      <c r="AA100">
        <v>23.355</v>
      </c>
      <c r="AB100">
        <v>1.2706</v>
      </c>
      <c r="AC100" s="1">
        <f t="shared" si="28"/>
        <v>4554727.2778143976</v>
      </c>
      <c r="AD100">
        <f t="shared" si="36"/>
        <v>211.29921472651296</v>
      </c>
      <c r="AE100" s="1">
        <f t="shared" si="29"/>
        <v>3.8140963132511252E-2</v>
      </c>
      <c r="AF100" s="1">
        <f t="shared" si="37"/>
        <v>8.0591555588125097</v>
      </c>
    </row>
    <row r="101" spans="8:32">
      <c r="H101" s="1">
        <f t="shared" si="38"/>
        <v>9.8999999999999808</v>
      </c>
      <c r="I101" s="1">
        <f t="shared" si="30"/>
        <v>7.9578698875960169E-2</v>
      </c>
      <c r="J101">
        <f t="shared" si="31"/>
        <v>1409971.1669631307</v>
      </c>
      <c r="K101" s="1">
        <f t="shared" si="32"/>
        <v>6.6077927147305884</v>
      </c>
      <c r="L101" s="1">
        <f t="shared" si="21"/>
        <v>6.6315582396633474E-5</v>
      </c>
      <c r="M101" s="1">
        <f t="shared" si="33"/>
        <v>1.0018077199708693E-3</v>
      </c>
      <c r="N101" s="1">
        <f t="shared" si="34"/>
        <v>9.2730771997086921E-4</v>
      </c>
      <c r="O101">
        <v>83000</v>
      </c>
      <c r="P101" s="1">
        <f t="shared" si="39"/>
        <v>0.10910448561639215</v>
      </c>
      <c r="Q101" s="1">
        <f t="shared" si="40"/>
        <v>3.7396855386214199E-2</v>
      </c>
      <c r="R101" s="1">
        <f t="shared" si="41"/>
        <v>5.4889674329820488E-4</v>
      </c>
      <c r="S101" s="1">
        <f t="shared" si="22"/>
        <v>2.5453495042547764E-2</v>
      </c>
      <c r="T101" s="1">
        <f t="shared" si="35"/>
        <v>0.32690129493882425</v>
      </c>
      <c r="U101" s="1">
        <f t="shared" si="23"/>
        <v>0.40647999381478439</v>
      </c>
      <c r="V101" s="1">
        <f t="shared" si="24"/>
        <v>3.0145899999999999E-5</v>
      </c>
      <c r="W101" s="1">
        <f t="shared" si="25"/>
        <v>13483.757121690989</v>
      </c>
      <c r="X101" s="1">
        <f t="shared" si="26"/>
        <v>3.1264350433187014</v>
      </c>
      <c r="Y101">
        <f t="shared" si="27"/>
        <v>356.00513808606291</v>
      </c>
      <c r="Z101">
        <v>2929</v>
      </c>
      <c r="AA101">
        <v>23.355</v>
      </c>
      <c r="AB101">
        <v>1.2706</v>
      </c>
      <c r="AC101" s="1">
        <f t="shared" si="28"/>
        <v>4540531.6487248559</v>
      </c>
      <c r="AD101">
        <f t="shared" si="36"/>
        <v>211.29921472651296</v>
      </c>
      <c r="AE101" s="1">
        <f t="shared" si="29"/>
        <v>3.8081480153473325E-2</v>
      </c>
      <c r="AF101" s="1">
        <f t="shared" si="37"/>
        <v>8.0465868520522026</v>
      </c>
    </row>
    <row r="102" spans="8:32">
      <c r="H102" s="1">
        <f t="shared" si="38"/>
        <v>9.9999999999999805</v>
      </c>
      <c r="I102" s="1">
        <f t="shared" si="30"/>
        <v>7.9316610097008383E-2</v>
      </c>
      <c r="J102">
        <f t="shared" si="31"/>
        <v>1400699.1105171007</v>
      </c>
      <c r="K102" s="1">
        <f t="shared" si="32"/>
        <v>6.5860302538128783</v>
      </c>
      <c r="L102" s="1">
        <f t="shared" si="21"/>
        <v>6.6097175080840316E-5</v>
      </c>
      <c r="M102" s="1">
        <f t="shared" si="33"/>
        <v>1.0084392782105326E-3</v>
      </c>
      <c r="N102" s="1">
        <f t="shared" si="34"/>
        <v>9.3393927821053258E-4</v>
      </c>
      <c r="O102">
        <v>83000</v>
      </c>
      <c r="P102" s="1">
        <f t="shared" si="39"/>
        <v>0.10915937529072196</v>
      </c>
      <c r="Q102" s="1">
        <f t="shared" si="40"/>
        <v>3.7434493024136137E-2</v>
      </c>
      <c r="R102" s="1">
        <f t="shared" si="41"/>
        <v>5.4700967245390679E-4</v>
      </c>
      <c r="S102" s="1">
        <f t="shared" si="22"/>
        <v>2.5391516911837352E-2</v>
      </c>
      <c r="T102" s="1">
        <f t="shared" si="35"/>
        <v>0.32944044663000799</v>
      </c>
      <c r="U102" s="1">
        <f t="shared" si="23"/>
        <v>0.40875705672701634</v>
      </c>
      <c r="V102" s="1">
        <f t="shared" si="24"/>
        <v>3.0145899999999999E-5</v>
      </c>
      <c r="W102" s="1">
        <f t="shared" si="25"/>
        <v>13559.291868115279</v>
      </c>
      <c r="X102" s="1">
        <f t="shared" si="26"/>
        <v>3.1237444526219513</v>
      </c>
      <c r="Y102">
        <f t="shared" si="27"/>
        <v>356.00513808606291</v>
      </c>
      <c r="Z102">
        <v>2929</v>
      </c>
      <c r="AA102">
        <v>23.355</v>
      </c>
      <c r="AB102">
        <v>1.2706</v>
      </c>
      <c r="AC102" s="1">
        <f t="shared" si="28"/>
        <v>4526522.2673653914</v>
      </c>
      <c r="AD102">
        <f t="shared" si="36"/>
        <v>211.29921472651296</v>
      </c>
      <c r="AE102" s="1">
        <f t="shared" si="29"/>
        <v>3.8022686363452692E-2</v>
      </c>
      <c r="AF102" s="1">
        <f t="shared" si="37"/>
        <v>8.0341637703900464</v>
      </c>
    </row>
    <row r="103" spans="8:32">
      <c r="H103" s="1"/>
    </row>
    <row r="104" spans="8:32">
      <c r="H104" s="1"/>
    </row>
    <row r="105" spans="8:32">
      <c r="H105" s="1"/>
    </row>
    <row r="106" spans="8:32">
      <c r="H106" s="1"/>
    </row>
    <row r="107" spans="8:32">
      <c r="H107" s="1"/>
    </row>
    <row r="108" spans="8:32">
      <c r="H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2025-10-07T01:41:04Z</dcterms:created>
  <dcterms:modified xsi:type="dcterms:W3CDTF">2025-11-10T01:23:43Z</dcterms:modified>
  <cp:category/>
  <cp:contentStatus/>
</cp:coreProperties>
</file>